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50327D554B66A0C/Documents/"/>
    </mc:Choice>
  </mc:AlternateContent>
  <xr:revisionPtr revIDLastSave="0" documentId="14_{500E9D91-0F1E-48B3-BECB-8D0AEC31F86A}" xr6:coauthVersionLast="47" xr6:coauthVersionMax="47" xr10:uidLastSave="{00000000-0000-0000-0000-000000000000}"/>
  <bookViews>
    <workbookView xWindow="-108" yWindow="-108" windowWidth="23256" windowHeight="12456" activeTab="3" xr2:uid="{EC7B6BB5-A3FE-4CFF-95C8-8D5F84FC0546}"/>
  </bookViews>
  <sheets>
    <sheet name="Sheet1" sheetId="4" r:id="rId1"/>
    <sheet name="Raw_Data" sheetId="1" r:id="rId2"/>
    <sheet name="Calculations" sheetId="2" r:id="rId3"/>
    <sheet name="Dashboard" sheetId="3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4" l="1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E40" i="3"/>
  <c r="E39" i="3"/>
  <c r="E38" i="3"/>
  <c r="K7" i="3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F2" i="2"/>
  <c r="E50" i="3" s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M29" i="2" s="1"/>
  <c r="N29" i="2" s="1"/>
  <c r="E30" i="2"/>
  <c r="E31" i="2"/>
  <c r="E32" i="2"/>
  <c r="E33" i="2"/>
  <c r="E34" i="2"/>
  <c r="E35" i="2"/>
  <c r="E36" i="2"/>
  <c r="E37" i="2"/>
  <c r="E38" i="2"/>
  <c r="E39" i="2"/>
  <c r="M39" i="2" s="1"/>
  <c r="N39" i="2" s="1"/>
  <c r="E40" i="2"/>
  <c r="E41" i="2"/>
  <c r="E42" i="2"/>
  <c r="M42" i="2" s="1"/>
  <c r="N42" i="2" s="1"/>
  <c r="E43" i="2"/>
  <c r="E44" i="2"/>
  <c r="E45" i="2"/>
  <c r="E46" i="2"/>
  <c r="E47" i="2"/>
  <c r="E48" i="2"/>
  <c r="E49" i="2"/>
  <c r="E50" i="2"/>
  <c r="I3" i="2"/>
  <c r="O3" i="2" s="1" a="1"/>
  <c r="O3" i="2" s="1"/>
  <c r="I4" i="2"/>
  <c r="I5" i="2"/>
  <c r="I6" i="2"/>
  <c r="I7" i="2"/>
  <c r="O7" i="2" s="1" a="1"/>
  <c r="O7" i="2" s="1"/>
  <c r="I8" i="2"/>
  <c r="I9" i="2"/>
  <c r="I10" i="2"/>
  <c r="I11" i="2"/>
  <c r="I12" i="2"/>
  <c r="I13" i="2"/>
  <c r="I14" i="2"/>
  <c r="I15" i="2"/>
  <c r="I16" i="2"/>
  <c r="O16" i="2" s="1" a="1"/>
  <c r="O16" i="2" s="1"/>
  <c r="I17" i="2"/>
  <c r="I18" i="2"/>
  <c r="O18" i="2" s="1" a="1"/>
  <c r="O18" i="2" s="1"/>
  <c r="I19" i="2"/>
  <c r="I20" i="2"/>
  <c r="I21" i="2"/>
  <c r="I22" i="2"/>
  <c r="I23" i="2"/>
  <c r="I24" i="2"/>
  <c r="I25" i="2"/>
  <c r="I26" i="2"/>
  <c r="I27" i="2"/>
  <c r="I28" i="2"/>
  <c r="O28" i="2" s="1" a="1"/>
  <c r="O28" i="2" s="1"/>
  <c r="I29" i="2"/>
  <c r="I30" i="2"/>
  <c r="I31" i="2"/>
  <c r="I32" i="2"/>
  <c r="I33" i="2"/>
  <c r="I34" i="2"/>
  <c r="I35" i="2"/>
  <c r="I36" i="2"/>
  <c r="I37" i="2"/>
  <c r="O37" i="2" s="1" a="1"/>
  <c r="O37" i="2" s="1"/>
  <c r="I38" i="2"/>
  <c r="I39" i="2"/>
  <c r="I40" i="2"/>
  <c r="O40" i="2" s="1" a="1"/>
  <c r="O40" i="2" s="1"/>
  <c r="I41" i="2"/>
  <c r="I42" i="2"/>
  <c r="I43" i="2"/>
  <c r="I44" i="2"/>
  <c r="I45" i="2"/>
  <c r="O45" i="2" s="1" a="1"/>
  <c r="O45" i="2" s="1"/>
  <c r="I46" i="2"/>
  <c r="I47" i="2"/>
  <c r="I48" i="2"/>
  <c r="I49" i="2"/>
  <c r="I50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L2" i="2"/>
  <c r="K2" i="2"/>
  <c r="J2" i="2"/>
  <c r="I2" i="2"/>
  <c r="O2" i="2" s="1" a="1"/>
  <c r="O2" i="2" s="1"/>
  <c r="E2" i="2"/>
  <c r="D2" i="2"/>
  <c r="C2" i="2"/>
  <c r="B2" i="2"/>
  <c r="A2" i="2"/>
  <c r="M15" i="2" l="1"/>
  <c r="N15" i="2" s="1"/>
  <c r="M6" i="2"/>
  <c r="N6" i="2" s="1"/>
  <c r="M28" i="2"/>
  <c r="N28" i="2" s="1"/>
  <c r="M27" i="2"/>
  <c r="N27" i="2" s="1"/>
  <c r="M7" i="2"/>
  <c r="N7" i="2" s="1"/>
  <c r="O15" i="2" a="1"/>
  <c r="O15" i="2" s="1"/>
  <c r="O25" i="2" a="1"/>
  <c r="O25" i="2" s="1"/>
  <c r="O48" i="2" a="1"/>
  <c r="O48" i="2" s="1"/>
  <c r="O36" i="2" a="1"/>
  <c r="O36" i="2" s="1"/>
  <c r="O46" i="2" a="1"/>
  <c r="O46" i="2" s="1"/>
  <c r="O34" i="2" a="1"/>
  <c r="O34" i="2" s="1"/>
  <c r="O22" i="2" a="1"/>
  <c r="O22" i="2" s="1"/>
  <c r="O10" i="2" a="1"/>
  <c r="O10" i="2" s="1"/>
  <c r="M10" i="2"/>
  <c r="N10" i="2" s="1"/>
  <c r="M9" i="2"/>
  <c r="N9" i="2" s="1"/>
  <c r="M35" i="2"/>
  <c r="N35" i="2" s="1"/>
  <c r="M11" i="2"/>
  <c r="N11" i="2" s="1"/>
  <c r="O33" i="2" a="1"/>
  <c r="O33" i="2" s="1"/>
  <c r="O19" i="2" a="1"/>
  <c r="O19" i="2" s="1"/>
  <c r="O6" i="2" a="1"/>
  <c r="O6" i="2" s="1"/>
  <c r="O42" i="2" a="1"/>
  <c r="O42" i="2" s="1"/>
  <c r="O30" i="2" a="1"/>
  <c r="O30" i="2" s="1"/>
  <c r="M30" i="2"/>
  <c r="N30" i="2" s="1"/>
  <c r="O41" i="2" a="1"/>
  <c r="O41" i="2" s="1"/>
  <c r="O29" i="2" a="1"/>
  <c r="O29" i="2" s="1"/>
  <c r="O17" i="2" a="1"/>
  <c r="O17" i="2" s="1"/>
  <c r="O5" i="2" a="1"/>
  <c r="O5" i="2" s="1"/>
  <c r="M41" i="2"/>
  <c r="N41" i="2" s="1"/>
  <c r="E41" i="3"/>
  <c r="M18" i="2"/>
  <c r="N18" i="2" s="1"/>
  <c r="O8" i="2" a="1"/>
  <c r="O8" i="2" s="1"/>
  <c r="O44" i="2" a="1"/>
  <c r="O44" i="2" s="1"/>
  <c r="O20" i="2" a="1"/>
  <c r="O20" i="2" s="1"/>
  <c r="M8" i="2"/>
  <c r="N8" i="2" s="1"/>
  <c r="O31" i="2" a="1"/>
  <c r="O31" i="2" s="1"/>
  <c r="O21" i="2" a="1"/>
  <c r="O21" i="2" s="1"/>
  <c r="O9" i="2" a="1"/>
  <c r="O9" i="2" s="1"/>
  <c r="O32" i="2" a="1"/>
  <c r="O32" i="2" s="1"/>
  <c r="O43" i="2" a="1"/>
  <c r="O43" i="2" s="1"/>
  <c r="O4" i="2" a="1"/>
  <c r="O4" i="2" s="1"/>
  <c r="E17" i="3" s="1"/>
  <c r="O27" i="2" a="1"/>
  <c r="O27" i="2" s="1"/>
  <c r="O50" i="2" a="1"/>
  <c r="O50" i="2" s="1"/>
  <c r="O38" i="2" a="1"/>
  <c r="O38" i="2" s="1"/>
  <c r="O26" i="2" a="1"/>
  <c r="O26" i="2" s="1"/>
  <c r="O14" i="2" a="1"/>
  <c r="O14" i="2" s="1"/>
  <c r="M50" i="2"/>
  <c r="N50" i="2" s="1"/>
  <c r="M38" i="2"/>
  <c r="N38" i="2" s="1"/>
  <c r="M3" i="2"/>
  <c r="N3" i="2" s="1"/>
  <c r="M12" i="2"/>
  <c r="N12" i="2" s="1"/>
  <c r="E12" i="3"/>
  <c r="M40" i="2"/>
  <c r="N40" i="2" s="1"/>
  <c r="M16" i="2"/>
  <c r="N16" i="2" s="1"/>
  <c r="O39" i="2" a="1"/>
  <c r="O39" i="2" s="1"/>
  <c r="O13" i="2" a="1"/>
  <c r="O13" i="2" s="1"/>
  <c r="O24" i="2" a="1"/>
  <c r="O24" i="2" s="1"/>
  <c r="E13" i="3"/>
  <c r="O49" i="2" a="1"/>
  <c r="O49" i="2" s="1"/>
  <c r="O12" i="2" a="1"/>
  <c r="O12" i="2" s="1"/>
  <c r="O47" i="2" a="1"/>
  <c r="O47" i="2" s="1"/>
  <c r="O35" i="2" a="1"/>
  <c r="O35" i="2" s="1"/>
  <c r="O23" i="2" a="1"/>
  <c r="O23" i="2" s="1"/>
  <c r="O11" i="2" a="1"/>
  <c r="O11" i="2" s="1"/>
  <c r="M33" i="2"/>
  <c r="N33" i="2" s="1"/>
  <c r="M19" i="2"/>
  <c r="N19" i="2" s="1"/>
  <c r="M44" i="2"/>
  <c r="N44" i="2" s="1"/>
  <c r="M32" i="2"/>
  <c r="N32" i="2" s="1"/>
  <c r="M20" i="2"/>
  <c r="N20" i="2" s="1"/>
  <c r="M17" i="2"/>
  <c r="N17" i="2" s="1"/>
  <c r="M5" i="2"/>
  <c r="N5" i="2" s="1"/>
  <c r="M43" i="2"/>
  <c r="N43" i="2" s="1"/>
  <c r="M31" i="2"/>
  <c r="N31" i="2" s="1"/>
  <c r="M45" i="2"/>
  <c r="N45" i="2" s="1"/>
  <c r="M4" i="2"/>
  <c r="N4" i="2" s="1"/>
  <c r="M21" i="2"/>
  <c r="N21" i="2" s="1"/>
  <c r="M26" i="2"/>
  <c r="N26" i="2" s="1"/>
  <c r="M23" i="2"/>
  <c r="N23" i="2" s="1"/>
  <c r="M46" i="2"/>
  <c r="N46" i="2" s="1"/>
  <c r="M34" i="2"/>
  <c r="N34" i="2" s="1"/>
  <c r="M22" i="2"/>
  <c r="N22" i="2" s="1"/>
  <c r="M47" i="2"/>
  <c r="N47" i="2" s="1"/>
  <c r="M49" i="2"/>
  <c r="N49" i="2" s="1"/>
  <c r="M37" i="2"/>
  <c r="N37" i="2" s="1"/>
  <c r="M25" i="2"/>
  <c r="N25" i="2" s="1"/>
  <c r="M48" i="2"/>
  <c r="N48" i="2" s="1"/>
  <c r="M36" i="2"/>
  <c r="N36" i="2" s="1"/>
  <c r="M24" i="2"/>
  <c r="N24" i="2" s="1"/>
  <c r="M14" i="2"/>
  <c r="N14" i="2" s="1"/>
  <c r="M2" i="2"/>
  <c r="N2" i="2" s="1"/>
  <c r="M13" i="2"/>
  <c r="N13" i="2" s="1"/>
  <c r="E14" i="3" l="1"/>
  <c r="E15" i="3"/>
  <c r="E16" i="3"/>
  <c r="E27" i="3"/>
  <c r="E7" i="3"/>
  <c r="E26" i="3"/>
  <c r="E25" i="3"/>
  <c r="H7" i="3"/>
  <c r="B7" i="3"/>
  <c r="E115" i="3"/>
  <c r="F115" i="3"/>
  <c r="H115" i="3"/>
  <c r="H120" i="3"/>
  <c r="E120" i="3"/>
  <c r="F120" i="3"/>
  <c r="E156" i="3"/>
  <c r="F156" i="3"/>
  <c r="H156" i="3"/>
  <c r="H114" i="3"/>
  <c r="E114" i="3"/>
  <c r="F114" i="3"/>
  <c r="H134" i="3"/>
  <c r="E134" i="3"/>
  <c r="F134" i="3"/>
  <c r="H140" i="3"/>
  <c r="E140" i="3"/>
  <c r="F140" i="3"/>
  <c r="E152" i="3"/>
  <c r="F152" i="3"/>
  <c r="H152" i="3"/>
  <c r="H117" i="3"/>
  <c r="E117" i="3"/>
  <c r="F117" i="3"/>
  <c r="E162" i="3"/>
  <c r="F162" i="3"/>
  <c r="H162" i="3"/>
  <c r="E155" i="3"/>
  <c r="F155" i="3"/>
  <c r="H155" i="3"/>
  <c r="H142" i="3"/>
  <c r="E142" i="3"/>
  <c r="F142" i="3"/>
  <c r="H158" i="3"/>
  <c r="E158" i="3"/>
  <c r="F158" i="3"/>
  <c r="E123" i="3"/>
  <c r="F123" i="3"/>
  <c r="H123" i="3"/>
  <c r="F118" i="3"/>
  <c r="H118" i="3"/>
  <c r="E118" i="3"/>
  <c r="H157" i="3"/>
  <c r="E157" i="3"/>
  <c r="F157" i="3"/>
  <c r="E119" i="3"/>
  <c r="F119" i="3"/>
  <c r="H119" i="3"/>
  <c r="E132" i="3"/>
  <c r="F132" i="3"/>
  <c r="H132" i="3"/>
  <c r="H133" i="3"/>
  <c r="E133" i="3"/>
  <c r="F133" i="3"/>
  <c r="E126" i="3"/>
  <c r="F126" i="3"/>
  <c r="H126" i="3"/>
  <c r="F146" i="3"/>
  <c r="H146" i="3"/>
  <c r="E146" i="3"/>
  <c r="E153" i="3"/>
  <c r="F153" i="3"/>
  <c r="H153" i="3"/>
  <c r="H141" i="3"/>
  <c r="E141" i="3"/>
  <c r="F141" i="3"/>
  <c r="H143" i="3"/>
  <c r="E143" i="3"/>
  <c r="F143" i="3"/>
  <c r="F125" i="3"/>
  <c r="H125" i="3"/>
  <c r="E125" i="3"/>
  <c r="E145" i="3"/>
  <c r="F145" i="3"/>
  <c r="H145" i="3"/>
  <c r="H128" i="3"/>
  <c r="E128" i="3"/>
  <c r="F128" i="3"/>
  <c r="E138" i="3"/>
  <c r="F138" i="3"/>
  <c r="H138" i="3"/>
  <c r="E144" i="3"/>
  <c r="F144" i="3"/>
  <c r="H144" i="3"/>
  <c r="E131" i="3"/>
  <c r="F131" i="3"/>
  <c r="H131" i="3"/>
  <c r="E137" i="3"/>
  <c r="F137" i="3"/>
  <c r="H137" i="3"/>
  <c r="E161" i="3"/>
  <c r="F161" i="3"/>
  <c r="H161" i="3"/>
  <c r="E116" i="3"/>
  <c r="F116" i="3"/>
  <c r="H116" i="3"/>
  <c r="H150" i="3"/>
  <c r="E150" i="3"/>
  <c r="F150" i="3"/>
  <c r="H124" i="3"/>
  <c r="E124" i="3"/>
  <c r="F124" i="3"/>
  <c r="F159" i="3"/>
  <c r="H159" i="3"/>
  <c r="E159" i="3"/>
  <c r="E130" i="3"/>
  <c r="F130" i="3"/>
  <c r="H130" i="3"/>
  <c r="F149" i="3"/>
  <c r="H149" i="3"/>
  <c r="E149" i="3"/>
  <c r="F129" i="3"/>
  <c r="H129" i="3"/>
  <c r="E129" i="3"/>
  <c r="E147" i="3"/>
  <c r="F147" i="3"/>
  <c r="H147" i="3"/>
  <c r="F135" i="3"/>
  <c r="H135" i="3"/>
  <c r="E135" i="3"/>
  <c r="E139" i="3"/>
  <c r="F139" i="3"/>
  <c r="H139" i="3"/>
  <c r="F148" i="3"/>
  <c r="H148" i="3"/>
  <c r="E148" i="3"/>
  <c r="F127" i="3"/>
  <c r="H127" i="3"/>
  <c r="E127" i="3"/>
  <c r="F154" i="3"/>
  <c r="H154" i="3"/>
  <c r="E154" i="3"/>
  <c r="F121" i="3"/>
  <c r="H121" i="3"/>
  <c r="E121" i="3"/>
  <c r="E151" i="3"/>
  <c r="F151" i="3"/>
  <c r="H151" i="3"/>
  <c r="E136" i="3"/>
  <c r="F136" i="3"/>
  <c r="H136" i="3"/>
  <c r="E160" i="3"/>
  <c r="F160" i="3"/>
  <c r="H160" i="3"/>
  <c r="H122" i="3"/>
  <c r="E122" i="3"/>
  <c r="F12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<sst xmlns="http://schemas.openxmlformats.org/spreadsheetml/2006/main" count="574" uniqueCount="205">
  <si>
    <t>Employee_ID</t>
  </si>
  <si>
    <t>Employee_Name</t>
  </si>
  <si>
    <t>Department</t>
  </si>
  <si>
    <t>Role</t>
  </si>
  <si>
    <t>Month</t>
  </si>
  <si>
    <t>Work_Hours</t>
  </si>
  <si>
    <t>Expected_Hours</t>
  </si>
  <si>
    <t>Tasks_Assigned</t>
  </si>
  <si>
    <t>Tasks_completed</t>
  </si>
  <si>
    <t>Overtime_Hours</t>
  </si>
  <si>
    <t>Meeting_Hours</t>
  </si>
  <si>
    <t>Leave_days</t>
  </si>
  <si>
    <t>Satisfaction_Score</t>
  </si>
  <si>
    <t>Performance_Score</t>
  </si>
  <si>
    <t>Deadline_Misses</t>
  </si>
  <si>
    <t>After_Hours_Messages</t>
  </si>
  <si>
    <t>Manager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</si>
  <si>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</si>
  <si>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</si>
  <si>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</si>
  <si>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</si>
  <si>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</si>
  <si>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</si>
  <si>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</si>
  <si>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</si>
  <si>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</si>
  <si>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</si>
  <si>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</si>
  <si>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</si>
  <si>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</si>
  <si>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</si>
  <si>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</si>
  <si>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</si>
  <si>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</si>
  <si>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</si>
  <si>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</si>
  <si>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</si>
  <si>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</si>
  <si>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</si>
  <si>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</si>
  <si>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</si>
  <si>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</si>
  <si>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</si>
  <si>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</si>
  <si>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</si>
  <si>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</si>
  <si>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</si>
  <si>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</si>
  <si>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</si>
  <si>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</si>
  <si>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</si>
  <si>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</si>
  <si>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</si>
  <si>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</si>
  <si>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</si>
  <si>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</si>
  <si>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</si>
  <si>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</si>
  <si>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</si>
  <si>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</si>
  <si>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</si>
  <si>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</si>
  <si>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</si>
  <si>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</si>
  <si>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</si>
  <si>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</si>
  <si>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</si>
  <si>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Aarav Sharma</t>
  </si>
  <si>
    <t>Priya Mehta</t>
  </si>
  <si>
    <t>Rahul Verma</t>
  </si>
  <si>
    <t>Neha Kapoor</t>
  </si>
  <si>
    <t>Arjun Malhotra</t>
  </si>
  <si>
    <t>Simran Kaur</t>
  </si>
  <si>
    <t>Rohan Gupta</t>
  </si>
  <si>
    <t>Ananya Singh</t>
  </si>
  <si>
    <t>Vivek Sharma</t>
  </si>
  <si>
    <t>Ishita Patel</t>
  </si>
  <si>
    <t>Karan Arora</t>
  </si>
  <si>
    <t>Mehak Sethi</t>
  </si>
  <si>
    <t>Aditya Bansal</t>
  </si>
  <si>
    <t>Riya Khanna</t>
  </si>
  <si>
    <t>Yash Thakur</t>
  </si>
  <si>
    <t>Kavya Joshi</t>
  </si>
  <si>
    <t>Harsh Vardan</t>
  </si>
  <si>
    <t>Nisha Jain</t>
  </si>
  <si>
    <t>Aman Kapoor</t>
  </si>
  <si>
    <t>Sneha Verma</t>
  </si>
  <si>
    <t>Devansh Gupta</t>
  </si>
  <si>
    <t>Pooja Malhotra</t>
  </si>
  <si>
    <t>Sahil Arora</t>
  </si>
  <si>
    <t>Tanya Sharma</t>
  </si>
  <si>
    <t>Mohit Bhatia</t>
  </si>
  <si>
    <t>Anajli Mehta</t>
  </si>
  <si>
    <t xml:space="preserve">Varun Singh </t>
  </si>
  <si>
    <t>Shreya Mehta</t>
  </si>
  <si>
    <t>Manav Khanna</t>
  </si>
  <si>
    <t>Muskan Arora</t>
  </si>
  <si>
    <t>Abhishek Jain</t>
  </si>
  <si>
    <t>Diya sharma</t>
  </si>
  <si>
    <t>Nitin Sethi</t>
  </si>
  <si>
    <t>Aditi Sethi</t>
  </si>
  <si>
    <t>Rishab Verma</t>
  </si>
  <si>
    <t>Palak Bansal</t>
  </si>
  <si>
    <t>Ayush Malhotra</t>
  </si>
  <si>
    <t>Sakshi Arora</t>
  </si>
  <si>
    <t>Rajat Mehta</t>
  </si>
  <si>
    <t>Navya Singh</t>
  </si>
  <si>
    <t>Ankit Kapoor</t>
  </si>
  <si>
    <t>Isha Khanna</t>
  </si>
  <si>
    <t>Gaurav Sharma</t>
  </si>
  <si>
    <t>Manya jain</t>
  </si>
  <si>
    <t>Vikas Gupta</t>
  </si>
  <si>
    <t>kriti Verma</t>
  </si>
  <si>
    <t>Saurabh Bhatia</t>
  </si>
  <si>
    <t>Rhea Arora</t>
  </si>
  <si>
    <t>Akash Mehta</t>
  </si>
  <si>
    <t>IT</t>
  </si>
  <si>
    <t>Finance</t>
  </si>
  <si>
    <t>Marketing</t>
  </si>
  <si>
    <t>Human Resources</t>
  </si>
  <si>
    <t>Operations</t>
  </si>
  <si>
    <t>Sales</t>
  </si>
  <si>
    <t>Software Analyst</t>
  </si>
  <si>
    <t>Financial Analyst</t>
  </si>
  <si>
    <t>Marketing Specialist</t>
  </si>
  <si>
    <t>HR Executive</t>
  </si>
  <si>
    <t>Operations Analyst</t>
  </si>
  <si>
    <t>Sales Executive</t>
  </si>
  <si>
    <t>Data Analyst</t>
  </si>
  <si>
    <t>Accountant</t>
  </si>
  <si>
    <t>Marketing Analyst</t>
  </si>
  <si>
    <t>HR Specialist</t>
  </si>
  <si>
    <t>Operations Executive</t>
  </si>
  <si>
    <t>Sales Analyst</t>
  </si>
  <si>
    <t>Business Analyst</t>
  </si>
  <si>
    <t>Marketing Executive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</si>
  <si>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</si>
  <si>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</si>
  <si>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</si>
  <si>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</si>
  <si>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</si>
  <si>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</si>
  <si>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</si>
  <si>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</si>
  <si>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</si>
  <si>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</si>
  <si>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</si>
  <si>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</si>
  <si>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Vikram Singh</t>
  </si>
  <si>
    <t>Priya Kapoor</t>
  </si>
  <si>
    <t>Rahul Mehta</t>
  </si>
  <si>
    <t>Overtime_Rate</t>
  </si>
  <si>
    <t>Meeting_Load</t>
  </si>
  <si>
    <t>Satisfaction_Risk</t>
  </si>
  <si>
    <t>Performance_Risk</t>
  </si>
  <si>
    <t>After_Hours_Risk</t>
  </si>
  <si>
    <t>Workload_Risk_Score</t>
  </si>
  <si>
    <t>Risk_Level</t>
  </si>
  <si>
    <t>Primary_Risk_Driver</t>
  </si>
  <si>
    <t>Workload_Utilisation</t>
  </si>
  <si>
    <t>Task_Complete_Rate</t>
  </si>
  <si>
    <t>Dedaline_Risk</t>
  </si>
  <si>
    <t>HIGH RISK EMPLOYEES</t>
  </si>
  <si>
    <t>MEDIUM RISK EMPLOYEES</t>
  </si>
  <si>
    <t>LOW RISK EMPLOYEES</t>
  </si>
  <si>
    <t>TOTAL EMPLOYEES</t>
  </si>
  <si>
    <t>PRIMARY RISK DRIVERS</t>
  </si>
  <si>
    <t>WORKLOAD PULSE</t>
  </si>
  <si>
    <t>Employee Workload Early Warning System</t>
  </si>
  <si>
    <t>WORKFORCE RISK OVERVIEW</t>
  </si>
  <si>
    <t>Risk Driver</t>
  </si>
  <si>
    <t>Employees Affected</t>
  </si>
  <si>
    <t>Overtime</t>
  </si>
  <si>
    <t>Meeting Load</t>
  </si>
  <si>
    <t>Performance</t>
  </si>
  <si>
    <t>Satisfaction</t>
  </si>
  <si>
    <t>Deadline Misses</t>
  </si>
  <si>
    <t>After-Hours Messages</t>
  </si>
  <si>
    <t>RISK DISTRIBUTION</t>
  </si>
  <si>
    <t>Risk Level</t>
  </si>
  <si>
    <t>Employees</t>
  </si>
  <si>
    <t>High</t>
  </si>
  <si>
    <t>Medium</t>
  </si>
  <si>
    <t>Low</t>
  </si>
  <si>
    <t>WORKLOAD &amp; OVERTIME ANALYSIS</t>
  </si>
  <si>
    <t>Metric</t>
  </si>
  <si>
    <t>Average</t>
  </si>
  <si>
    <t>Work Hours</t>
  </si>
  <si>
    <t>Overtime Hours</t>
  </si>
  <si>
    <t>Meeting Hours</t>
  </si>
  <si>
    <t>Task Completion Rate</t>
  </si>
  <si>
    <t>TASK COMPLETION</t>
  </si>
  <si>
    <t>Average Task completion Rate</t>
  </si>
  <si>
    <t>Row Labels</t>
  </si>
  <si>
    <t>Grand Total</t>
  </si>
  <si>
    <t>Sum of Tasks_completed</t>
  </si>
  <si>
    <t>Average of Tasks_completed</t>
  </si>
  <si>
    <t>Employee Id</t>
  </si>
  <si>
    <t>Employee Name</t>
  </si>
  <si>
    <t>Risk Score</t>
  </si>
  <si>
    <t>Risk Zone</t>
  </si>
  <si>
    <t>EARLY WARNING PANEL</t>
  </si>
  <si>
    <t>Completion Rate</t>
  </si>
  <si>
    <t>Competion Rate</t>
  </si>
  <si>
    <t>Sum of Tasks_Assigned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</si>
</sst>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theme="3"/>
      <name val="Calibri"/>
      <family val="2"/>
      <scheme val="minor"/>
    </font>
    <font>
      <sz val="22"/>
      <color theme="1"/>
      <name val="Calibri"/>
      <family val="2"/>
      <scheme val="minor"/>
    </font>
    <font>
      <i/>
      <sz val="15"/>
      <color theme="3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99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9" fontId="12" fillId="0" borderId="0" applyFont="0" applyFill="0" applyBorder="0" applyAlignment="0" applyProtection="0"/>
  </cellStyleXfs>
  <cellXfs count="34">
    <xf numFmtId="0" fontId="0" fillId="0" borderId="0" xfId="0"/>
    <xf numFmtId="0" fontId="4" fillId="0" borderId="0" xfId="0" applyFont="1"/>
    <xf numFmtId="0" fontId="6" fillId="2" borderId="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7" fillId="0" borderId="1" xfId="2" applyFont="1"/>
    <xf numFmtId="0" fontId="7" fillId="0" borderId="1" xfId="2" applyFont="1" applyAlignment="1">
      <alignment horizontal="center"/>
    </xf>
    <xf numFmtId="0" fontId="8" fillId="0" borderId="0" xfId="0" applyFont="1" applyAlignment="1">
      <alignment horizontal="center"/>
    </xf>
    <xf numFmtId="0" fontId="2" fillId="0" borderId="0" xfId="1"/>
    <xf numFmtId="0" fontId="9" fillId="0" borderId="1" xfId="2" applyFont="1"/>
    <xf numFmtId="0" fontId="9" fillId="0" borderId="1" xfId="2" applyFont="1" applyAlignment="1">
      <alignment horizontal="center"/>
    </xf>
    <xf numFmtId="0" fontId="10" fillId="0" borderId="0" xfId="0" applyFont="1" applyAlignment="1">
      <alignment horizontal="center"/>
    </xf>
    <xf numFmtId="0" fontId="0" fillId="6" borderId="0" xfId="0" applyFill="1"/>
    <xf numFmtId="0" fontId="0" fillId="0" borderId="3" xfId="0" applyBorder="1"/>
    <xf numFmtId="0" fontId="2" fillId="0" borderId="1" xfId="1" applyBorder="1" applyAlignment="1">
      <alignment horizontal="left" vertical="center"/>
    </xf>
    <xf numFmtId="0" fontId="2" fillId="0" borderId="0" xfId="1" applyAlignment="1">
      <alignment horizontal="left" vertical="center"/>
    </xf>
    <xf numFmtId="0" fontId="4" fillId="0" borderId="4" xfId="0" applyFont="1" applyBorder="1"/>
    <xf numFmtId="0" fontId="0" fillId="6" borderId="4" xfId="0" applyFill="1" applyBorder="1"/>
    <xf numFmtId="10" fontId="0" fillId="0" borderId="0" xfId="0" applyNumberFormat="1"/>
    <xf numFmtId="0" fontId="0" fillId="0" borderId="5" xfId="0" applyBorder="1"/>
    <xf numFmtId="0" fontId="0" fillId="0" borderId="6" xfId="0" applyBorder="1"/>
    <xf numFmtId="0" fontId="0" fillId="7" borderId="5" xfId="0" applyFill="1" applyBorder="1"/>
    <xf numFmtId="0" fontId="0" fillId="7" borderId="6" xfId="0" applyFill="1" applyBorder="1"/>
    <xf numFmtId="0" fontId="4" fillId="0" borderId="2" xfId="0" applyFont="1" applyBorder="1"/>
    <xf numFmtId="10" fontId="11" fillId="0" borderId="2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3" applyNumberFormat="1" applyFont="1"/>
    <xf numFmtId="10" fontId="4" fillId="0" borderId="0" xfId="3" applyNumberFormat="1" applyFont="1"/>
  </cellXfs>
  <cellStyles count="4">
    <cellStyle name="Heading 1" xfId="2" builtinId="16"/>
    <cellStyle name="Normal" xfId="0" builtinId="0"/>
    <cellStyle name="Percent" xfId="3" builtinId="5"/>
    <cellStyle name="Title" xfId="1" builtinId="15"/>
  </cellStyles>
  <dxfs count="14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</dxfs>
  <tableStyles count="0" defaultTableStyle="TableStyleMedium2" defaultPivotStyle="PivotStyleLight16"/>
  <colors>
    <mruColors>
      <color rgb="FFCCFF66"/>
      <color rgb="FF66FF33"/>
      <color rgb="FFFFFF66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Risk</a:t>
            </a:r>
            <a:r>
              <a:rPr lang="en-US" baseline="0"/>
              <a:t> Driver Impact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Dashboard!$E$11</c:f>
              <c:strCache>
                <c:ptCount val="1"/>
                <c:pt idx="0">
                  <c:v>Employees Affected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Dashboard!$D$12:$D$17</c:f>
              <c:strCache>
                <c:ptCount val="6"/>
                <c:pt idx="0">
                  <c:v>Overtime</c:v>
                </c:pt>
                <c:pt idx="1">
                  <c:v>Meeting Load</c:v>
                </c:pt>
                <c:pt idx="2">
                  <c:v>Performance</c:v>
                </c:pt>
                <c:pt idx="3">
                  <c:v>Satisfaction</c:v>
                </c:pt>
                <c:pt idx="4">
                  <c:v>Deadline Misses</c:v>
                </c:pt>
                <c:pt idx="5">
                  <c:v>After-Hours Messages</c:v>
                </c:pt>
              </c:strCache>
            </c:strRef>
          </c:cat>
          <c:val>
            <c:numRef>
              <c:f>Dashboard!$E$12:$E$17</c:f>
              <c:numCache>
                <c:formatCode>General</c:formatCode>
                <c:ptCount val="6"/>
                <c:pt idx="0">
                  <c:v>11</c:v>
                </c:pt>
                <c:pt idx="1">
                  <c:v>16</c:v>
                </c:pt>
                <c:pt idx="2">
                  <c:v>0</c:v>
                </c:pt>
                <c:pt idx="3">
                  <c:v>1</c:v>
                </c:pt>
                <c:pt idx="4">
                  <c:v>38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3A-43EE-B1BA-6078851724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82576127"/>
        <c:axId val="1644368399"/>
      </c:barChart>
      <c:catAx>
        <c:axId val="14825761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368399"/>
        <c:crosses val="autoZero"/>
        <c:auto val="1"/>
        <c:lblAlgn val="ctr"/>
        <c:lblOffset val="100"/>
        <c:noMultiLvlLbl val="0"/>
      </c:catAx>
      <c:valAx>
        <c:axId val="1644368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2576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Risk</a:t>
            </a:r>
            <a:r>
              <a:rPr lang="en-IN" baseline="0"/>
              <a:t> Distribution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34116438570178725"/>
          <c:y val="0.21616170728249803"/>
          <c:w val="0.40047572178477692"/>
          <c:h val="0.66745953630796151"/>
        </c:manualLayout>
      </c:layout>
      <c:doughnutChart>
        <c:varyColors val="1"/>
        <c:ser>
          <c:idx val="0"/>
          <c:order val="0"/>
          <c:tx>
            <c:strRef>
              <c:f>Dashboard!$E$24</c:f>
              <c:strCache>
                <c:ptCount val="1"/>
                <c:pt idx="0">
                  <c:v>Employees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4A7-453D-AF7F-4F009571F48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4A7-453D-AF7F-4F009571F48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412-4751-814C-A3A35B2FF5A5}"/>
              </c:ext>
            </c:extLst>
          </c:dPt>
          <c:dLbls>
            <c:dLbl>
              <c:idx val="2"/>
              <c:layout>
                <c:manualLayout>
                  <c:x val="-6.283068783068789E-2"/>
                  <c:y val="1.636661211129298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412-4751-814C-A3A35B2FF5A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Dashboard!$D$25:$D$27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Dashboard!$E$25:$E$27</c:f>
              <c:numCache>
                <c:formatCode>General</c:formatCode>
                <c:ptCount val="3"/>
                <c:pt idx="0">
                  <c:v>0</c:v>
                </c:pt>
                <c:pt idx="1">
                  <c:v>49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12-4751-814C-A3A35B2FF5A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Workload</a:t>
            </a:r>
            <a:r>
              <a:rPr lang="en-IN" baseline="0"/>
              <a:t> &amp; Overtime Analysis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Dashboard!$D$43</c:f>
              <c:strCache>
                <c:ptCount val="1"/>
                <c:pt idx="0">
                  <c:v>Work Hours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Dashboard!$D$44</c:f>
              <c:numCache>
                <c:formatCode>General</c:formatCode>
                <c:ptCount val="1"/>
                <c:pt idx="0">
                  <c:v>177.61224490000001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9D-4A03-B5E8-85F9BA09D7A9}"/>
            </c:ext>
          </c:extLst>
        </c:ser>
        <c:ser>
          <c:idx val="1"/>
          <c:order val="1"/>
          <c:tx>
            <c:strRef>
              <c:f>Dashboard!$E$43</c:f>
              <c:strCache>
                <c:ptCount val="1"/>
                <c:pt idx="0">
                  <c:v>Overtime Hours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Dashboard!$E$44</c:f>
              <c:numCache>
                <c:formatCode>General</c:formatCode>
                <c:ptCount val="1"/>
                <c:pt idx="0">
                  <c:v>12.08163265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9D-4A03-B5E8-85F9BA09D7A9}"/>
            </c:ext>
          </c:extLst>
        </c:ser>
        <c:ser>
          <c:idx val="2"/>
          <c:order val="2"/>
          <c:tx>
            <c:strRef>
              <c:f>Dashboard!$F$43</c:f>
              <c:strCache>
                <c:ptCount val="1"/>
                <c:pt idx="0">
                  <c:v>Meeting Hours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Dashboard!$F$44</c:f>
              <c:numCache>
                <c:formatCode>General</c:formatCode>
                <c:ptCount val="1"/>
                <c:pt idx="0">
                  <c:v>24.265306120000002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9D-4A03-B5E8-85F9BA09D7A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84511887"/>
        <c:axId val="1379881615"/>
      </c:barChart>
      <c:catAx>
        <c:axId val="13845118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881615"/>
        <c:crosses val="autoZero"/>
        <c:auto val="1"/>
        <c:lblAlgn val="ctr"/>
        <c:lblOffset val="100"/>
        <c:noMultiLvlLbl val="0"/>
      </c:catAx>
      <c:valAx>
        <c:axId val="1379881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511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[Workload_Pulse.xlsx]Dashboard!PivotTable1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Task</a:t>
            </a:r>
            <a:r>
              <a:rPr lang="en-US" baseline="0"/>
              <a:t> Completion by Employee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Dashboard!$D$53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Dashboard!$C$54:$C$104</c:f>
              <c:strCache>
                <c:ptCount val="50"/>
                <c:pt idx="0">
                  <c:v>E050</c:v>
                </c:pt>
                <c:pt idx="1">
                  <c:v>E004</c:v>
                </c:pt>
                <c:pt idx="2">
                  <c:v>E021</c:v>
                </c:pt>
                <c:pt idx="3">
                  <c:v>E042</c:v>
                </c:pt>
                <c:pt idx="4">
                  <c:v>E010</c:v>
                </c:pt>
                <c:pt idx="5">
                  <c:v>E028</c:v>
                </c:pt>
                <c:pt idx="6">
                  <c:v>E033</c:v>
                </c:pt>
                <c:pt idx="7">
                  <c:v>E001</c:v>
                </c:pt>
                <c:pt idx="8">
                  <c:v>E025</c:v>
                </c:pt>
                <c:pt idx="9">
                  <c:v>E038</c:v>
                </c:pt>
                <c:pt idx="10">
                  <c:v>E014</c:v>
                </c:pt>
                <c:pt idx="11">
                  <c:v>E036</c:v>
                </c:pt>
                <c:pt idx="12">
                  <c:v>E005</c:v>
                </c:pt>
                <c:pt idx="13">
                  <c:v>E018</c:v>
                </c:pt>
                <c:pt idx="14">
                  <c:v>E007</c:v>
                </c:pt>
                <c:pt idx="15">
                  <c:v>E047</c:v>
                </c:pt>
                <c:pt idx="16">
                  <c:v>E031</c:v>
                </c:pt>
                <c:pt idx="17">
                  <c:v>E002</c:v>
                </c:pt>
                <c:pt idx="18">
                  <c:v>E024</c:v>
                </c:pt>
                <c:pt idx="19">
                  <c:v>E012</c:v>
                </c:pt>
                <c:pt idx="20">
                  <c:v>E034</c:v>
                </c:pt>
                <c:pt idx="21">
                  <c:v>E045</c:v>
                </c:pt>
                <c:pt idx="22">
                  <c:v>E027</c:v>
                </c:pt>
                <c:pt idx="23">
                  <c:v>E049</c:v>
                </c:pt>
                <c:pt idx="24">
                  <c:v>E020</c:v>
                </c:pt>
                <c:pt idx="25">
                  <c:v>E008</c:v>
                </c:pt>
                <c:pt idx="26">
                  <c:v>E040</c:v>
                </c:pt>
                <c:pt idx="27">
                  <c:v>E022</c:v>
                </c:pt>
                <c:pt idx="28">
                  <c:v>E003</c:v>
                </c:pt>
                <c:pt idx="29">
                  <c:v>E043</c:v>
                </c:pt>
                <c:pt idx="30">
                  <c:v>E015</c:v>
                </c:pt>
                <c:pt idx="31">
                  <c:v>E030</c:v>
                </c:pt>
                <c:pt idx="32">
                  <c:v>E011</c:v>
                </c:pt>
                <c:pt idx="33">
                  <c:v>E048</c:v>
                </c:pt>
                <c:pt idx="34">
                  <c:v>E017</c:v>
                </c:pt>
                <c:pt idx="35">
                  <c:v>E006</c:v>
                </c:pt>
                <c:pt idx="36">
                  <c:v>E026</c:v>
                </c:pt>
                <c:pt idx="37">
                  <c:v>E035</c:v>
                </c:pt>
                <c:pt idx="38">
                  <c:v>E009</c:v>
                </c:pt>
                <c:pt idx="39">
                  <c:v>E039</c:v>
                </c:pt>
                <c:pt idx="40">
                  <c:v>E019</c:v>
                </c:pt>
                <c:pt idx="41">
                  <c:v>E046</c:v>
                </c:pt>
                <c:pt idx="42">
                  <c:v>E013</c:v>
                </c:pt>
                <c:pt idx="43">
                  <c:v>E041</c:v>
                </c:pt>
                <c:pt idx="44">
                  <c:v>E016</c:v>
                </c:pt>
                <c:pt idx="45">
                  <c:v>E029</c:v>
                </c:pt>
                <c:pt idx="46">
                  <c:v>E023</c:v>
                </c:pt>
                <c:pt idx="47">
                  <c:v>E044</c:v>
                </c:pt>
                <c:pt idx="48">
                  <c:v>E032</c:v>
                </c:pt>
                <c:pt idx="49">
                  <c:v>E037</c:v>
                </c:pt>
              </c:strCache>
            </c:strRef>
          </c:cat>
          <c:val>
            <c:numRef>
              <c:f>Dashboard!$D$54:$D$104</c:f>
              <c:numCache>
                <c:formatCode>General</c:formatCode>
                <c:ptCount val="50"/>
                <c:pt idx="1">
                  <c:v>36</c:v>
                </c:pt>
                <c:pt idx="2">
                  <c:v>37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40</c:v>
                </c:pt>
                <c:pt idx="7">
                  <c:v>40</c:v>
                </c:pt>
                <c:pt idx="8">
                  <c:v>41</c:v>
                </c:pt>
                <c:pt idx="9">
                  <c:v>41</c:v>
                </c:pt>
                <c:pt idx="10">
                  <c:v>42</c:v>
                </c:pt>
                <c:pt idx="11">
                  <c:v>42</c:v>
                </c:pt>
                <c:pt idx="12">
                  <c:v>43</c:v>
                </c:pt>
                <c:pt idx="13">
                  <c:v>43</c:v>
                </c:pt>
                <c:pt idx="14">
                  <c:v>44</c:v>
                </c:pt>
                <c:pt idx="15">
                  <c:v>44</c:v>
                </c:pt>
                <c:pt idx="16">
                  <c:v>44</c:v>
                </c:pt>
                <c:pt idx="17">
                  <c:v>45</c:v>
                </c:pt>
                <c:pt idx="18">
                  <c:v>45</c:v>
                </c:pt>
                <c:pt idx="19">
                  <c:v>45</c:v>
                </c:pt>
                <c:pt idx="20">
                  <c:v>46</c:v>
                </c:pt>
                <c:pt idx="21">
                  <c:v>46</c:v>
                </c:pt>
                <c:pt idx="22">
                  <c:v>47</c:v>
                </c:pt>
                <c:pt idx="23">
                  <c:v>47</c:v>
                </c:pt>
                <c:pt idx="24">
                  <c:v>47</c:v>
                </c:pt>
                <c:pt idx="25">
                  <c:v>47</c:v>
                </c:pt>
                <c:pt idx="26">
                  <c:v>48</c:v>
                </c:pt>
                <c:pt idx="27">
                  <c:v>48</c:v>
                </c:pt>
                <c:pt idx="28">
                  <c:v>48</c:v>
                </c:pt>
                <c:pt idx="29">
                  <c:v>49</c:v>
                </c:pt>
                <c:pt idx="30">
                  <c:v>49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51</c:v>
                </c:pt>
                <c:pt idx="35">
                  <c:v>51</c:v>
                </c:pt>
                <c:pt idx="36">
                  <c:v>52</c:v>
                </c:pt>
                <c:pt idx="37">
                  <c:v>52</c:v>
                </c:pt>
                <c:pt idx="38">
                  <c:v>52</c:v>
                </c:pt>
                <c:pt idx="39">
                  <c:v>53</c:v>
                </c:pt>
                <c:pt idx="40">
                  <c:v>53</c:v>
                </c:pt>
                <c:pt idx="41">
                  <c:v>53</c:v>
                </c:pt>
                <c:pt idx="42">
                  <c:v>54</c:v>
                </c:pt>
                <c:pt idx="43">
                  <c:v>55</c:v>
                </c:pt>
                <c:pt idx="44">
                  <c:v>55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57</c:v>
                </c:pt>
                <c:pt idx="49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AD-408F-BDCD-02D0A69415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20280015"/>
        <c:axId val="1512935791"/>
      </c:barChart>
      <c:catAx>
        <c:axId val="15202800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935791"/>
        <c:crosses val="autoZero"/>
        <c:auto val="1"/>
        <c:lblAlgn val="ctr"/>
        <c:lblOffset val="100"/>
        <c:noMultiLvlLbl val="0"/>
      </c:catAx>
      <c:valAx>
        <c:axId val="1512935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280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480060</xdr:colOff>
      <xdr:row>9</xdr:row>
      <xdr:rowOff>30480</xdr:rowOff>
    </xdr:from>
    <xdr:to>
      <xdr:col>9</xdr:col>
      <xdr:colOff>1082040</xdr:colOff>
      <xdr:row>17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7BE292-DB8C-AE4A-BE79-0A698C7A70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495300</xdr:colOff>
      <xdr:row>20</xdr:row>
      <xdr:rowOff>137160</xdr:rowOff>
    </xdr:from>
    <xdr:to>
      <xdr:col>9</xdr:col>
      <xdr:colOff>304800</xdr:colOff>
      <xdr:row>30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36CEE4-DF5C-47B8-953A-D36F6F69FA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358140</xdr:colOff>
      <xdr:row>35</xdr:row>
      <xdr:rowOff>49530</xdr:rowOff>
    </xdr:from>
    <xdr:to>
      <xdr:col>9</xdr:col>
      <xdr:colOff>754380</xdr:colOff>
      <xdr:row>46</xdr:row>
      <xdr:rowOff>99060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B392E84-1298-7C81-3177-EB0FB8480F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190500</xdr:colOff>
      <xdr:row>54</xdr:row>
      <xdr:rowOff>144780</xdr:rowOff>
    </xdr:from>
    <xdr:to>
      <xdr:col>7</xdr:col>
      <xdr:colOff>617220</xdr:colOff>
      <xdr:row>70</xdr:row>
      <xdr:rowOff>118110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58FCC5F-1AF4-90FE-C5CB-F940E45B8A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22BCT10099 Anshika" refreshedDate="46248.704317824071" createdVersion="8" refreshedVersion="8" minRefreshableVersion="3" recordCount="50" xr:uid="{01DE4F2B-77E5-40E3-B6EE-30251330D066}">
  <cacheSource type="worksheet">
    <worksheetSource name="tblWorkload"/>
  </cacheSource>
  <cacheFields count="17">
    <cacheField name="Employee_ID" numFmtId="0">
      <sharedItems count="50">
        <s v="E001"/>
        <s v="E002"/>
        <s v="E003"/>
        <s v="E004"/>
        <s v="E005"/>
        <s v="E006"/>
        <s v="E007"/>
        <s v="E008"/>
        <s v="E009"/>
        <s v="E010"/>
        <s v="E011"/>
        <s v="E012"/>
        <s v="E013"/>
        <s v="E014"/>
        <s v="E015"/>
        <s v="E016"/>
        <s v="E017"/>
        <s v="E018"/>
        <s v="E019"/>
        <s v="E020"/>
        <s v="E021"/>
        <s v="E022"/>
        <s v="E023"/>
        <s v="E024"/>
        <s v="E025"/>
        <s v="E026"/>
        <s v="E027"/>
        <s v="E028"/>
        <s v="E029"/>
        <s v="E030"/>
        <s v="E031"/>
        <s v="E032"/>
        <s v="E033"/>
        <s v="E034"/>
        <s v="E035"/>
        <s v="E036"/>
        <s v="E037"/>
        <s v="E038"/>
        <s v="E039"/>
        <s v="E040"/>
        <s v="E041"/>
        <s v="E042"/>
        <s v="E043"/>
        <s v="E044"/>
        <s v="E045"/>
        <s v="E046"/>
        <s v="E047"/>
        <s v="E048"/>
        <s v="E049"/>
        <s v="E050"/>
      </sharedItems>
    </cacheField>
    <cacheField name="Employee_Name" numFmtId="0">
      <sharedItems/>
    </cacheField>
    <cacheField name="Department" numFmtId="0">
      <sharedItems/>
    </cacheField>
    <cacheField name="Role" numFmtId="0">
      <sharedItems/>
    </cacheField>
    <cacheField name="Month" numFmtId="0">
      <sharedItems/>
    </cacheField>
    <cacheField name="Work_Hours" numFmtId="0">
      <sharedItems containsString="0" containsBlank="1" containsNumber="1" containsInteger="1" minValue="160" maxValue="194"/>
    </cacheField>
    <cacheField name="Expected_Hours" numFmtId="0">
      <sharedItems containsSemiMixedTypes="0" containsString="0" containsNumber="1" containsInteger="1" minValue="168" maxValue="168"/>
    </cacheField>
    <cacheField name="Tasks_Assigned" numFmtId="0">
      <sharedItems containsString="0" containsBlank="1" containsNumber="1" containsInteger="1" minValue="38" maxValue="71"/>
    </cacheField>
    <cacheField name="Tasks_completed" numFmtId="0">
      <sharedItems containsString="0" containsBlank="1" containsNumber="1" containsInteger="1" minValue="36" maxValue="58"/>
    </cacheField>
    <cacheField name="Overtime_Hours" numFmtId="0">
      <sharedItems containsString="0" containsBlank="1" containsNumber="1" containsInteger="1" minValue="1" maxValue="30"/>
    </cacheField>
    <cacheField name="Meeting_Hours" numFmtId="0">
      <sharedItems containsString="0" containsBlank="1" containsNumber="1" containsInteger="1" minValue="14" maxValue="38"/>
    </cacheField>
    <cacheField name="Leave_days" numFmtId="0">
      <sharedItems containsSemiMixedTypes="0" containsString="0" containsNumber="1" containsInteger="1" minValue="0" maxValue="3"/>
    </cacheField>
    <cacheField name="Satisfaction_Score" numFmtId="0">
      <sharedItems containsString="0" containsBlank="1" containsNumber="1" containsInteger="1" minValue="2" maxValue="9"/>
    </cacheField>
    <cacheField name="Performance_Score" numFmtId="0">
      <sharedItems containsString="0" containsBlank="1" containsNumber="1" containsInteger="1" minValue="5" maxValue="9"/>
    </cacheField>
    <cacheField name="Deadline_Misses" numFmtId="0">
      <sharedItems containsString="0" containsBlank="1" containsNumber="1" containsInteger="1" minValue="0" maxValue="8"/>
    </cacheField>
    <cacheField name="After_Hours_Messages" numFmtId="0">
      <sharedItems containsString="0" containsBlank="1" containsNumber="1" containsInteger="1" minValue="2" maxValue="25"/>
    </cacheField>
    <cacheField name="Manag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s v="Aarav Sharma"/>
    <s v="IT"/>
    <s v="Software Analyst"/>
    <s v="Jan"/>
    <n v="168"/>
    <n v="168"/>
    <n v="42"/>
    <n v="40"/>
    <n v="4"/>
    <n v="18"/>
    <n v="1"/>
    <n v="8"/>
    <n v="8"/>
    <n v="1"/>
    <n v="5"/>
    <s v="Vikram Singh"/>
  </r>
  <r>
    <x v="1"/>
    <s v="Priya Mehta"/>
    <s v="Finance"/>
    <s v="Financial Analyst"/>
    <s v="Feb"/>
    <n v="176"/>
    <n v="168"/>
    <n v="48"/>
    <n v="45"/>
    <n v="8"/>
    <n v="22"/>
    <n v="0"/>
    <n v="6"/>
    <n v="7"/>
    <n v="2"/>
    <n v="8"/>
    <s v="Vikram Singh"/>
  </r>
  <r>
    <x v="2"/>
    <s v="Rahul Verma"/>
    <s v="Marketing"/>
    <s v="Marketing Specialist"/>
    <s v="Mar"/>
    <n v="182"/>
    <n v="168"/>
    <n v="55"/>
    <n v="48"/>
    <n v="16"/>
    <n v="27"/>
    <n v="0"/>
    <n v="5"/>
    <n v="7"/>
    <n v="3"/>
    <n v="12"/>
    <s v="Priya Kapoor"/>
  </r>
  <r>
    <x v="3"/>
    <s v="Neha Kapoor"/>
    <s v="Human Resources"/>
    <s v="HR Executive"/>
    <s v="Apr"/>
    <n v="160"/>
    <n v="168"/>
    <n v="38"/>
    <n v="36"/>
    <n v="2"/>
    <n v="15"/>
    <n v="2"/>
    <n v="9"/>
    <n v="9"/>
    <n v="0"/>
    <n v="3"/>
    <s v="Priya Kapoor"/>
  </r>
  <r>
    <x v="4"/>
    <s v="Arjun Malhotra"/>
    <s v="Operations"/>
    <s v="Operations Analyst"/>
    <s v="May"/>
    <n v="171"/>
    <n v="168"/>
    <n v="45"/>
    <n v="43"/>
    <n v="6"/>
    <n v="20"/>
    <n v="1"/>
    <n v="7"/>
    <n v="8"/>
    <n v="1"/>
    <n v="6"/>
    <s v="Rahul Mehta"/>
  </r>
  <r>
    <x v="5"/>
    <s v="Simran Kaur"/>
    <s v="Sales"/>
    <s v="Sales Executive"/>
    <s v="Jun"/>
    <n v="185"/>
    <n v="168"/>
    <n v="58"/>
    <n v="51"/>
    <n v="18"/>
    <n v="30"/>
    <n v="0"/>
    <n v="4"/>
    <n v="6"/>
    <n v="4"/>
    <n v="15"/>
    <s v="Rahul Mehta"/>
  </r>
  <r>
    <x v="6"/>
    <s v="Rohan Gupta"/>
    <s v="IT"/>
    <s v="Data Analyst"/>
    <s v="Jul"/>
    <n v="172"/>
    <n v="168"/>
    <n v="47"/>
    <n v="44"/>
    <n v="5"/>
    <n v="19"/>
    <n v="1"/>
    <n v="8"/>
    <n v="8"/>
    <n v="1"/>
    <n v="5"/>
    <s v="Vikram Singh"/>
  </r>
  <r>
    <x v="7"/>
    <s v="Ananya Singh"/>
    <s v="Finance"/>
    <s v="Accountant"/>
    <s v="Aug"/>
    <n v="178"/>
    <n v="168"/>
    <n v="51"/>
    <n v="47"/>
    <n v="10"/>
    <n v="24"/>
    <n v="0"/>
    <n v="7"/>
    <n v="8"/>
    <n v="2"/>
    <n v="9"/>
    <s v="Vikram Singh"/>
  </r>
  <r>
    <x v="8"/>
    <s v="Vivek Sharma"/>
    <s v="Marketing"/>
    <s v="Marketing Analyst"/>
    <s v="Sep"/>
    <n v="190"/>
    <n v="168"/>
    <n v="63"/>
    <n v="52"/>
    <n v="24"/>
    <n v="31"/>
    <n v="0"/>
    <n v="4"/>
    <n v="6"/>
    <n v="5"/>
    <n v="18"/>
    <s v="Priya Kapoor"/>
  </r>
  <r>
    <x v="9"/>
    <s v="Ishita Patel"/>
    <s v="Human Resources"/>
    <s v="HR Specialist"/>
    <s v="Oct"/>
    <n v="165"/>
    <n v="168"/>
    <n v="40"/>
    <n v="38"/>
    <n v="3"/>
    <n v="17"/>
    <n v="2"/>
    <n v="8"/>
    <n v="9"/>
    <n v="0"/>
    <n v="4"/>
    <s v="Priya Kapoor"/>
  </r>
  <r>
    <x v="10"/>
    <s v="Karan Arora"/>
    <s v="Operations"/>
    <s v="Operations Executive"/>
    <s v="Nov"/>
    <n v="180"/>
    <n v="168"/>
    <n v="54"/>
    <n v="50"/>
    <n v="14"/>
    <n v="26"/>
    <n v="1"/>
    <n v="5"/>
    <n v="7"/>
    <n v="3"/>
    <n v="11"/>
    <s v="Rahul Mehta"/>
  </r>
  <r>
    <x v="11"/>
    <s v="Mehak Sethi"/>
    <s v="Sales"/>
    <s v="Sales Analyst"/>
    <s v="Dec"/>
    <n v="174"/>
    <n v="168"/>
    <n v="49"/>
    <n v="45"/>
    <n v="9"/>
    <n v="21"/>
    <n v="0"/>
    <n v="6"/>
    <n v="8"/>
    <n v="2"/>
    <n v="7"/>
    <s v="Rahul Mehta"/>
  </r>
  <r>
    <x v="12"/>
    <s v="Aditya Bansal"/>
    <s v="IT"/>
    <s v="Business Analyst"/>
    <s v="Jan"/>
    <n v="188"/>
    <n v="168"/>
    <n v="60"/>
    <n v="54"/>
    <n v="20"/>
    <n v="29"/>
    <n v="0"/>
    <n v="4"/>
    <n v="6"/>
    <n v="4"/>
    <n v="16"/>
    <s v="Vikram Singh"/>
  </r>
  <r>
    <x v="13"/>
    <s v="Riya Khanna"/>
    <s v="Finance"/>
    <s v="Financial Analyst"/>
    <s v="Feb"/>
    <n v="169"/>
    <n v="168"/>
    <n v="44"/>
    <n v="42"/>
    <n v="5"/>
    <n v="18"/>
    <n v="1"/>
    <n v="8"/>
    <n v="8"/>
    <n v="1"/>
    <n v="6"/>
    <s v="Vikram Singh"/>
  </r>
  <r>
    <x v="14"/>
    <s v="Yash Thakur"/>
    <s v="Marketing"/>
    <s v="Marketing Executive"/>
    <s v="Mar"/>
    <n v="176"/>
    <n v="168"/>
    <n v="52"/>
    <n v="49"/>
    <n v="11"/>
    <n v="23"/>
    <n v="0"/>
    <n v="7"/>
    <n v="8"/>
    <n v="2"/>
    <n v="10"/>
    <s v="Priya Kapoor"/>
  </r>
  <r>
    <x v="15"/>
    <s v="Kavya Joshi"/>
    <s v="Human Resources"/>
    <s v="HR Executive"/>
    <s v="Apr"/>
    <n v="192"/>
    <n v="168"/>
    <n v="67"/>
    <n v="55"/>
    <n v="26"/>
    <n v="34"/>
    <n v="0"/>
    <n v="3"/>
    <n v="5"/>
    <n v="6"/>
    <n v="20"/>
    <s v="Priya Kapoor"/>
  </r>
  <r>
    <x v="16"/>
    <s v="Harsh Vardan"/>
    <s v="Operations"/>
    <s v="Operations Analyst"/>
    <s v="May"/>
    <n v="181"/>
    <n v="168"/>
    <n v="56"/>
    <n v="51"/>
    <n v="15"/>
    <n v="28"/>
    <n v="1"/>
    <n v="5"/>
    <n v="7"/>
    <n v="3"/>
    <n v="13"/>
    <s v="Rahul Mehta"/>
  </r>
  <r>
    <x v="17"/>
    <s v="Nisha Jain"/>
    <s v="Sales"/>
    <s v="Sales Executive"/>
    <s v="Jun"/>
    <n v="170"/>
    <n v="168"/>
    <n v="46"/>
    <n v="43"/>
    <n v="7"/>
    <n v="20"/>
    <n v="2"/>
    <n v="8"/>
    <n v="9"/>
    <n v="1"/>
    <n v="5"/>
    <s v="Rahul Mehta"/>
  </r>
  <r>
    <x v="18"/>
    <s v="Aman Kapoor"/>
    <s v="IT"/>
    <s v="Data Analyst"/>
    <s v="Jul"/>
    <n v="186"/>
    <n v="168"/>
    <n v="61"/>
    <n v="53"/>
    <n v="22"/>
    <n v="32"/>
    <n v="0"/>
    <n v="4"/>
    <n v="6"/>
    <n v="5"/>
    <n v="17"/>
    <s v="Vikram Singh"/>
  </r>
  <r>
    <x v="19"/>
    <s v="Sneha Verma"/>
    <s v="Finance"/>
    <s v="Accountant"/>
    <s v="Aug"/>
    <n v="175"/>
    <n v="168"/>
    <n v="50"/>
    <n v="47"/>
    <n v="12"/>
    <n v="25"/>
    <n v="1"/>
    <n v="6"/>
    <n v="7"/>
    <n v="2"/>
    <n v="9"/>
    <s v="Vikram Singh"/>
  </r>
  <r>
    <x v="20"/>
    <s v="Devansh Gupta"/>
    <s v="Marketing"/>
    <s v="Business Analyst"/>
    <s v="Sep"/>
    <n v="164"/>
    <n v="168"/>
    <n v="39"/>
    <n v="37"/>
    <n v="1"/>
    <n v="14"/>
    <n v="3"/>
    <n v="9"/>
    <n v="9"/>
    <n v="0"/>
    <n v="2"/>
    <s v="Priya Kapoor"/>
  </r>
  <r>
    <x v="21"/>
    <s v="Pooja Malhotra"/>
    <s v="Human Resources"/>
    <s v="Marketing Specialist"/>
    <s v="Oct"/>
    <n v="179"/>
    <n v="168"/>
    <n v="53"/>
    <n v="48"/>
    <n v="13"/>
    <n v="24"/>
    <n v="0"/>
    <n v="6"/>
    <n v="7"/>
    <n v="2"/>
    <n v="10"/>
    <s v="Priya Kapoor"/>
  </r>
  <r>
    <x v="22"/>
    <s v="Sahil Arora"/>
    <s v="Operations"/>
    <s v="Operations Executive"/>
    <s v="Nov"/>
    <n v="191"/>
    <n v="168"/>
    <n v="65"/>
    <n v="56"/>
    <n v="25"/>
    <n v="30"/>
    <n v="0"/>
    <n v="4"/>
    <n v="6"/>
    <n v="5"/>
    <n v="19"/>
    <s v="Rahul Mehta"/>
  </r>
  <r>
    <x v="23"/>
    <s v="Tanya Sharma"/>
    <s v="Sales"/>
    <s v="Sales Analyst"/>
    <s v="Dec"/>
    <n v="173"/>
    <n v="168"/>
    <n v="48"/>
    <n v="45"/>
    <n v="6"/>
    <n v="22"/>
    <n v="1"/>
    <n v="7"/>
    <n v="8"/>
    <n v="1"/>
    <n v="6"/>
    <s v="Rahul Mehta"/>
  </r>
  <r>
    <x v="24"/>
    <s v="Mohit Bhatia"/>
    <s v="IT"/>
    <s v="Software Analyst"/>
    <s v="Jan"/>
    <n v="168"/>
    <n v="168"/>
    <n v="43"/>
    <n v="41"/>
    <n v="4"/>
    <n v="18"/>
    <n v="2"/>
    <n v="8"/>
    <n v="9"/>
    <n v="1"/>
    <n v="4"/>
    <s v="Vikram Singh"/>
  </r>
  <r>
    <x v="25"/>
    <s v="Anajli Mehta"/>
    <s v="Finance"/>
    <s v="Financial Analyst"/>
    <s v="Feb"/>
    <n v="184"/>
    <n v="168"/>
    <n v="59"/>
    <n v="52"/>
    <n v="17"/>
    <n v="29"/>
    <n v="0"/>
    <n v="5"/>
    <n v="7"/>
    <n v="4"/>
    <n v="14"/>
    <s v="Vikram Singh"/>
  </r>
  <r>
    <x v="26"/>
    <s v="Varun Singh "/>
    <s v="Marketing"/>
    <s v="Marketing Analyst"/>
    <s v="Mar"/>
    <n v="177"/>
    <n v="168"/>
    <n v="51"/>
    <n v="47"/>
    <n v="8"/>
    <n v="23"/>
    <n v="1"/>
    <n v="6"/>
    <n v="8"/>
    <n v="2"/>
    <n v="8"/>
    <s v="Priya Kapoor"/>
  </r>
  <r>
    <x v="27"/>
    <s v="Shreya Mehta"/>
    <s v="Human Resources"/>
    <s v="HR Specialist"/>
    <s v="Apr"/>
    <n v="162"/>
    <n v="168"/>
    <n v="41"/>
    <n v="39"/>
    <n v="2"/>
    <n v="16"/>
    <n v="0"/>
    <n v="9"/>
    <n v="9"/>
    <n v="0"/>
    <n v="3"/>
    <s v="Priya Kapoor"/>
  </r>
  <r>
    <x v="28"/>
    <s v="Manav Khanna"/>
    <s v="Operations"/>
    <s v="Operations Analyst"/>
    <s v="May"/>
    <n v="189"/>
    <n v="168"/>
    <n v="64"/>
    <n v="55"/>
    <n v="21"/>
    <n v="33"/>
    <n v="0"/>
    <n v="4"/>
    <n v="6"/>
    <n v="4"/>
    <n v="16"/>
    <s v="Rahul Mehta"/>
  </r>
  <r>
    <x v="29"/>
    <s v="Muskan Arora"/>
    <s v="Sales"/>
    <s v="Sales Executive"/>
    <s v="Jun"/>
    <n v="180"/>
    <n v="168"/>
    <n v="55"/>
    <n v="50"/>
    <n v="14"/>
    <n v="27"/>
    <n v="1"/>
    <n v="5"/>
    <n v="7"/>
    <n v="3"/>
    <n v="12"/>
    <s v="Rahul Mehta"/>
  </r>
  <r>
    <x v="30"/>
    <s v="Abhishek Jain"/>
    <s v="IT"/>
    <s v="Data Analyst"/>
    <s v="Jul"/>
    <n v="175"/>
    <n v="168"/>
    <n v="47"/>
    <n v="44"/>
    <n v="7"/>
    <n v="21"/>
    <n v="2"/>
    <n v="7"/>
    <n v="8"/>
    <n v="1"/>
    <n v="7"/>
    <s v="Vikram Singh"/>
  </r>
  <r>
    <x v="31"/>
    <s v="Diya sharma"/>
    <s v="Finance"/>
    <s v="Accountant"/>
    <s v="Aug"/>
    <n v="193"/>
    <n v="168"/>
    <n v="69"/>
    <n v="57"/>
    <n v="28"/>
    <n v="36"/>
    <n v="0"/>
    <n v="3"/>
    <n v="5"/>
    <n v="7"/>
    <n v="23"/>
    <s v="Vikram Singh"/>
  </r>
  <r>
    <x v="32"/>
    <s v="Nitin Sethi"/>
    <s v="Marketing"/>
    <s v="Marketing Executive"/>
    <s v="Sep"/>
    <n v="166"/>
    <n v="168"/>
    <n v="42"/>
    <n v="40"/>
    <n v="3"/>
    <n v="17"/>
    <n v="1"/>
    <n v="8"/>
    <n v="9"/>
    <n v="0"/>
    <n v="3"/>
    <s v="Priya Kapoor"/>
  </r>
  <r>
    <x v="33"/>
    <s v="Aditi Sethi"/>
    <s v="Human Resources"/>
    <s v="HR Executive"/>
    <s v="Oct"/>
    <n v="178"/>
    <n v="168"/>
    <n v="50"/>
    <n v="46"/>
    <n v="10"/>
    <n v="25"/>
    <n v="0"/>
    <n v="6"/>
    <n v="7"/>
    <n v="2"/>
    <n v="9"/>
    <s v="Priya Kapoor"/>
  </r>
  <r>
    <x v="34"/>
    <s v="Rishab Verma"/>
    <s v="Operations"/>
    <s v="Business Analyst"/>
    <s v="Nov"/>
    <n v="185"/>
    <n v="168"/>
    <n v="57"/>
    <n v="52"/>
    <n v="18"/>
    <n v="29"/>
    <n v="1"/>
    <n v="5"/>
    <n v="7"/>
    <n v="3"/>
    <n v="15"/>
    <s v="Rahul Mehta"/>
  </r>
  <r>
    <x v="35"/>
    <s v="Palak Bansal"/>
    <s v="Sales"/>
    <s v="Sales Analyst"/>
    <s v="Dec"/>
    <n v="172"/>
    <n v="168"/>
    <n v="45"/>
    <n v="42"/>
    <n v="5"/>
    <n v="20"/>
    <n v="2"/>
    <n v="7"/>
    <n v="8"/>
    <n v="1"/>
    <n v="5"/>
    <s v="Rahul Mehta"/>
  </r>
  <r>
    <x v="36"/>
    <s v="Ayush Malhotra"/>
    <s v="IT"/>
    <s v="Software Analyst"/>
    <s v="Jan"/>
    <n v="194"/>
    <n v="168"/>
    <n v="71"/>
    <n v="58"/>
    <n v="30"/>
    <n v="38"/>
    <n v="0"/>
    <n v="2"/>
    <n v="5"/>
    <n v="8"/>
    <n v="25"/>
    <s v="Vikram Singh"/>
  </r>
  <r>
    <x v="37"/>
    <s v="Sakshi Arora"/>
    <s v="Finance"/>
    <s v="Financial Analyst"/>
    <s v="Feb"/>
    <n v="169"/>
    <n v="168"/>
    <n v="44"/>
    <n v="41"/>
    <n v="4"/>
    <n v="18"/>
    <n v="1"/>
    <n v="8"/>
    <n v="9"/>
    <n v="0"/>
    <n v="4"/>
    <s v="Vikram Singh"/>
  </r>
  <r>
    <x v="38"/>
    <s v="Rajat Mehta"/>
    <s v="Marketing"/>
    <s v="Marketing Specialist"/>
    <s v="Mar"/>
    <n v="181"/>
    <n v="168"/>
    <n v="58"/>
    <n v="53"/>
    <n v="16"/>
    <n v="27"/>
    <n v="0"/>
    <n v="5"/>
    <n v="7"/>
    <n v="3"/>
    <n v="13"/>
    <s v="Priya Kapoor"/>
  </r>
  <r>
    <x v="39"/>
    <s v="Navya Singh"/>
    <s v="Human Resources"/>
    <s v="HR Executive"/>
    <s v="Apr"/>
    <n v="176"/>
    <n v="168"/>
    <n v="52"/>
    <n v="48"/>
    <n v="11"/>
    <n v="24"/>
    <n v="0"/>
    <n v="6"/>
    <n v="8"/>
    <n v="2"/>
    <n v="8"/>
    <s v="Priya Kapoor"/>
  </r>
  <r>
    <x v="40"/>
    <s v="Ankit Kapoor"/>
    <s v="Operations"/>
    <s v="Operations Analyst"/>
    <s v="May"/>
    <n v="187"/>
    <n v="168"/>
    <n v="62"/>
    <n v="55"/>
    <n v="19"/>
    <n v="31"/>
    <n v="2"/>
    <n v="4"/>
    <n v="6"/>
    <n v="4"/>
    <n v="18"/>
    <s v="Rahul Mehta"/>
  </r>
  <r>
    <x v="41"/>
    <s v="Isha Khanna"/>
    <s v="Sales"/>
    <s v="Sales Executive"/>
    <s v="Jun"/>
    <n v="163"/>
    <n v="168"/>
    <n v="40"/>
    <n v="38"/>
    <n v="2"/>
    <n v="15"/>
    <n v="1"/>
    <n v="9"/>
    <n v="9"/>
    <n v="0"/>
    <n v="2"/>
    <s v="Rahul Mehta"/>
  </r>
  <r>
    <x v="42"/>
    <s v="Gaurav Sharma"/>
    <s v="IT"/>
    <s v="Data Analyst"/>
    <s v="Jul"/>
    <n v="179"/>
    <n v="168"/>
    <n v="54"/>
    <n v="49"/>
    <n v="12"/>
    <n v="23"/>
    <n v="0"/>
    <n v="7"/>
    <n v="8"/>
    <n v="2"/>
    <n v="10"/>
    <s v="Vikram Singh"/>
  </r>
  <r>
    <x v="43"/>
    <s v="Manya jain"/>
    <s v="Finance"/>
    <s v="Accountant"/>
    <s v="Aug"/>
    <n v="191"/>
    <n v="168"/>
    <n v="66"/>
    <n v="57"/>
    <n v="24"/>
    <n v="32"/>
    <n v="0"/>
    <n v="5"/>
    <n v="7"/>
    <n v="5"/>
    <n v="21"/>
    <s v="Vikram Singh"/>
  </r>
  <r>
    <x v="44"/>
    <s v="Vikas Gupta"/>
    <s v="Marketing"/>
    <s v="Marketing Analyst"/>
    <s v="Sep"/>
    <n v="174"/>
    <n v="168"/>
    <n v="49"/>
    <n v="46"/>
    <n v="6"/>
    <n v="21"/>
    <n v="1"/>
    <n v="8"/>
    <n v="9"/>
    <n v="1"/>
    <n v="6"/>
    <s v="Priya Kapoor"/>
  </r>
  <r>
    <x v="45"/>
    <s v="kriti Verma"/>
    <s v="Human Resources"/>
    <s v="HR Specialist"/>
    <s v="Oct"/>
    <n v="186"/>
    <n v="168"/>
    <n v="60"/>
    <n v="53"/>
    <n v="20"/>
    <n v="30"/>
    <n v="0"/>
    <n v="4"/>
    <n v="6"/>
    <n v="4"/>
    <n v="17"/>
    <s v="Priya Kapoor"/>
  </r>
  <r>
    <x v="46"/>
    <s v="Saurabh Bhatia"/>
    <s v="Operations"/>
    <s v="Operations Executive"/>
    <s v="Nov"/>
    <n v="170"/>
    <n v="168"/>
    <n v="46"/>
    <n v="44"/>
    <n v="5"/>
    <n v="19"/>
    <n v="2"/>
    <n v="7"/>
    <n v="8"/>
    <n v="1"/>
    <n v="5"/>
    <s v="Rahul Mehta"/>
  </r>
  <r>
    <x v="47"/>
    <s v="Rhea Arora"/>
    <s v="Sales"/>
    <s v="Sales Analyst"/>
    <s v="Dec"/>
    <n v="182"/>
    <n v="168"/>
    <n v="57"/>
    <n v="50"/>
    <n v="15"/>
    <n v="26"/>
    <n v="0"/>
    <n v="5"/>
    <n v="7"/>
    <n v="3"/>
    <n v="12"/>
    <s v="Rahul Mehta"/>
  </r>
  <r>
    <x v="48"/>
    <s v="Akash Mehta"/>
    <s v="IT"/>
    <s v="Business Analyst"/>
    <s v="Jan"/>
    <n v="177"/>
    <n v="168"/>
    <n v="53"/>
    <n v="47"/>
    <n v="9"/>
    <n v="22"/>
    <n v="1"/>
    <n v="6"/>
    <n v="8"/>
    <n v="2"/>
    <n v="8"/>
    <s v="Vikram Singh"/>
  </r>
  <r>
    <x v="49"/>
    <s v="Tanvi Singh"/>
    <s v="Finance"/>
    <s v="Business Analyst"/>
    <s v="Feb"/>
    <m/>
    <n v="168"/>
    <m/>
    <m/>
    <m/>
    <m/>
    <n v="0"/>
    <m/>
    <m/>
    <m/>
    <m/>
    <s v="Vikram Sing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DFF5B5-70D8-4BBF-A385-8634C24F6CB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54" firstHeaderRow="0" firstDataRow="1" firstDataCol="1"/>
  <pivotFields count="17">
    <pivotField axis="axisRow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asks_Assigned" fld="7" baseField="0" baseItem="0"/>
    <dataField name="Sum of Tasks_completed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BC827A-6466-4C12-901E-919EE22AEB2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C53:D104" firstHeaderRow="1" firstDataRow="1" firstDataCol="1"/>
  <pivotFields count="17">
    <pivotField axis="axisRow" showAll="0" sortType="ascending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51">
    <i>
      <x v="49"/>
    </i>
    <i>
      <x v="3"/>
    </i>
    <i>
      <x v="20"/>
    </i>
    <i>
      <x v="41"/>
    </i>
    <i>
      <x v="9"/>
    </i>
    <i>
      <x v="27"/>
    </i>
    <i>
      <x v="32"/>
    </i>
    <i>
      <x/>
    </i>
    <i>
      <x v="24"/>
    </i>
    <i>
      <x v="37"/>
    </i>
    <i>
      <x v="13"/>
    </i>
    <i>
      <x v="35"/>
    </i>
    <i>
      <x v="4"/>
    </i>
    <i>
      <x v="17"/>
    </i>
    <i>
      <x v="6"/>
    </i>
    <i>
      <x v="46"/>
    </i>
    <i>
      <x v="30"/>
    </i>
    <i>
      <x v="1"/>
    </i>
    <i>
      <x v="23"/>
    </i>
    <i>
      <x v="11"/>
    </i>
    <i>
      <x v="33"/>
    </i>
    <i>
      <x v="44"/>
    </i>
    <i>
      <x v="26"/>
    </i>
    <i>
      <x v="48"/>
    </i>
    <i>
      <x v="19"/>
    </i>
    <i>
      <x v="7"/>
    </i>
    <i>
      <x v="39"/>
    </i>
    <i>
      <x v="21"/>
    </i>
    <i>
      <x v="2"/>
    </i>
    <i>
      <x v="42"/>
    </i>
    <i>
      <x v="14"/>
    </i>
    <i>
      <x v="29"/>
    </i>
    <i>
      <x v="10"/>
    </i>
    <i>
      <x v="47"/>
    </i>
    <i>
      <x v="16"/>
    </i>
    <i>
      <x v="5"/>
    </i>
    <i>
      <x v="25"/>
    </i>
    <i>
      <x v="34"/>
    </i>
    <i>
      <x v="8"/>
    </i>
    <i>
      <x v="38"/>
    </i>
    <i>
      <x v="18"/>
    </i>
    <i>
      <x v="45"/>
    </i>
    <i>
      <x v="12"/>
    </i>
    <i>
      <x v="40"/>
    </i>
    <i>
      <x v="15"/>
    </i>
    <i>
      <x v="28"/>
    </i>
    <i>
      <x v="22"/>
    </i>
    <i>
      <x v="43"/>
    </i>
    <i>
      <x v="31"/>
    </i>
    <i>
      <x v="36"/>
    </i>
    <i t="grand">
      <x/>
    </i>
  </rowItems>
  <colItems count="1">
    <i/>
  </colItems>
  <dataFields count="1">
    <dataField name="Average of Tasks_completed" fld="8" subtotal="average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69EB6A-99EB-425B-91CA-1FB9783A4BF3}" name="tblWorkload" displayName="tblWorkload" ref="A1:R51" totalsRowShown="0">
  <autoFilter ref="A1:R51" xr:uid="{2D69EB6A-99EB-425B-91CA-1FB9783A4BF3}"/>
  <tableColumns count="18">
    <tableColumn id="1" xr3:uid="{F5B1A46D-4008-4B98-8495-FAAAEC977D44}" name="Employee_ID"/>
    <tableColumn id="2" xr3:uid="{6CD30FDF-0A0A-4B33-88C5-A0DC04D00468}" name="Employee_Name"/>
    <tableColumn id="3" xr3:uid="{20E6BD74-8DD5-4A79-82A5-26BDAAB15EA2}" name="Department"/>
    <tableColumn id="4" xr3:uid="{0AE4CF4A-D114-4E23-B43D-BE08DC688A58}" name="Role"/>
    <tableColumn id="5" xr3:uid="{B469FF37-EB4E-4865-871D-6B2FBEA2265D}" name="Month"/>
    <tableColumn id="6" xr3:uid="{F46868F1-7F00-4846-B0AD-7E63A99CDEB4}" name="Work_Hours"/>
    <tableColumn id="7" xr3:uid="{CFC3ED0D-6281-4B3F-869B-35624681B8FB}" name="Expected_Hours"/>
    <tableColumn id="8" xr3:uid="{3FADFEBB-61AA-4031-BF89-693CBC5188BE}" name="Tasks_Assigned"/>
    <tableColumn id="9" xr3:uid="{831C099D-0CFD-4FD0-A9E4-3AD005E0403B}" name="Tasks_completed"/>
    <tableColumn id="10" xr3:uid="{4E7EFD0E-C213-4849-8256-45559C4BFBC0}" name="Overtime_Hours"/>
    <tableColumn id="11" xr3:uid="{BC1A387A-C48A-4626-A71C-091E5E01DF90}" name="Meeting_Hours"/>
    <tableColumn id="12" xr3:uid="{4CC9F577-5DC8-4254-B606-4168A8E285DD}" name="Leave_days"/>
    <tableColumn id="13" xr3:uid="{04D5902F-000B-461A-A52F-8F226102822E}" name="Satisfaction_Score"/>
    <tableColumn id="14" xr3:uid="{ED7D5166-71FC-42C3-9489-0272B30C865D}" name="Performance_Score"/>
    <tableColumn id="15" xr3:uid="{13F2A738-83F2-478A-BB42-CC7A7FEE0F94}" name="Deadline_Misses"/>
    <tableColumn id="16" xr3:uid="{477C6E01-43C0-41C6-B877-ACC73D7BF7D6}" name="After_Hours_Messages"/>
    <tableColumn id="17" xr3:uid="{C98BF263-499A-4989-94F9-4121F060E9AC}" name="Manager"/>
    <tableColumn id="18" xr3:uid="{830B61F3-038C-4E15-8296-5540DEAEE936}" name="Competion Rate" dataDxfId="6">
      <calculatedColumnFormula>I2/H2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FB839A-2E7C-492E-90D3-B701A1CB2E71}" name="tblCalculations" displayName="tblCalculations" ref="A1:O51" totalsRowShown="0">
  <autoFilter ref="A1:O51" xr:uid="{41FB839A-2E7C-492E-90D3-B701A1CB2E71}"/>
  <tableColumns count="15">
    <tableColumn id="1" xr3:uid="{EB26D21F-39CB-4AD8-A315-775E94A00E89}" name="Employee_ID">
      <calculatedColumnFormula>Raw_Data!A2</calculatedColumnFormula>
    </tableColumn>
    <tableColumn id="2" xr3:uid="{0FAD1E6C-D7E4-4918-908C-40E6159DC24D}" name="Employee_Name">
      <calculatedColumnFormula>Raw_Data!B2</calculatedColumnFormula>
    </tableColumn>
    <tableColumn id="3" xr3:uid="{AC48D7C0-4CBC-41C7-B3ED-3B316531486E}" name="Department">
      <calculatedColumnFormula>Raw_Data!C2</calculatedColumnFormula>
    </tableColumn>
    <tableColumn id="4" xr3:uid="{98042463-6D71-47D5-93C0-0C3F635CEB62}" name="Month">
      <calculatedColumnFormula>Raw_Data!E2</calculatedColumnFormula>
    </tableColumn>
    <tableColumn id="5" xr3:uid="{2EEC97EA-70C8-40B6-BB9C-411011A3D1C3}" name="Workload_Utilisation">
      <calculatedColumnFormula>Raw_Data!F2/Raw_Data!G2</calculatedColumnFormula>
    </tableColumn>
    <tableColumn id="6" xr3:uid="{A994AC2E-0DE7-4022-9859-DB7FE67FAC8F}" name="Task_Complete_Rate" dataDxfId="5">
      <calculatedColumnFormula>IFERROR(Raw_Data!I2/Raw_Data!H2,0)</calculatedColumnFormula>
    </tableColumn>
    <tableColumn id="7" xr3:uid="{A4BB99CF-D374-4B51-ACB3-B0B704E5D9FA}" name="Overtime_Rate" dataDxfId="4">
      <calculatedColumnFormula>IFERROR(Raw_Data!J2/Raw_Data!F2,0)</calculatedColumnFormula>
    </tableColumn>
    <tableColumn id="8" xr3:uid="{C0FE9F3C-BD5D-42A8-BF03-04CB95234267}" name="Meeting_Load" dataDxfId="3">
      <calculatedColumnFormula>IFERROR(Raw_Data!K2/Raw_Data!F2,0)</calculatedColumnFormula>
    </tableColumn>
    <tableColumn id="16385" xr3:uid="{EB15BDE2-B603-4764-B6B8-5434882B00C2}" name="Performance_Risk">
      <calculatedColumnFormula>IF(Raw_Data!N2&lt;3,"High",IF(Raw_Data!N2&lt;4,"Medium","Low"))</calculatedColumnFormula>
    </tableColumn>
    <tableColumn id="9" xr3:uid="{7E93D591-6605-4D03-B518-871AC2A2DAA9}" name="Satisfaction_Risk">
      <calculatedColumnFormula>IF(Raw_Data!M2&lt;3,"High",IF(Raw_Data!M2&lt;4,"Medium","Low"))</calculatedColumnFormula>
    </tableColumn>
    <tableColumn id="10" xr3:uid="{A7848BA7-1A2E-46AD-8370-D4C73D0EA5BB}" name="Dedaline_Risk">
      <calculatedColumnFormula>IF(Raw_Data!O2&gt;=3,"High",IF(Raw_Data!O2&gt;=1,"Medium","Low"))</calculatedColumnFormula>
    </tableColumn>
    <tableColumn id="11" xr3:uid="{B6954791-F2F1-4A89-8A59-2BD96F897798}" name="After_Hours_Risk">
      <calculatedColumnFormula>IF(Raw_Data!P2&gt;=10,"High",IF(Raw_Data!P2&gt;=5,"Medium","Low"))</calculatedColumnFormula>
    </tableColumn>
    <tableColumn id="12" xr3:uid="{296D7DA3-ADA8-4C73-8125-03617BD7DDFE}" name="Workload_Risk_Score">
      <calculatedColumnFormula>(E2*0.2)+(F2*0.2)+(G2*0.2)+(H2*0.2)+((I2="High")*0.2)</calculatedColumnFormula>
    </tableColumn>
    <tableColumn id="13" xr3:uid="{EA03DC47-7B5B-428F-972E-6259DA070D19}" name="Risk_Level">
      <calculatedColumnFormula>IF(M2&gt;=0.7,"High",IF(M2&gt;=0.4,"Medium","Low"))</calculatedColumnFormula>
    </tableColumn>
    <tableColumn id="14" xr3:uid="{D559939F-DFC5-455E-898A-10C785EEE5E8}" name="Primary_Risk_Driver">
      <calculatedColumnFormula array="1">IF(COUNTIF(I2:L2,"High")&gt;0,INDEX({"Performance","Satisfaction","Deadline","After-Hours"},MATCH("High",I2:L2,0)),IF(COUNTIF(I2:L2,"Medium")&gt;0,INDEX({"Performance","Satisfaction","Deadline","After-Hours"},MATCH("Medium",I2:L2,0)),"None"))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03C6370-33D2-40FC-A040-54F4E270F67D}" name="Table4" displayName="Table4" ref="D24:E27" totalsRowShown="0">
  <autoFilter ref="D24:E27" xr:uid="{D03C6370-33D2-40FC-A040-54F4E270F67D}"/>
  <tableColumns count="2">
    <tableColumn id="1" xr3:uid="{7138DC9E-1689-49C1-A204-2E686812705A}" name="Risk Level"/>
    <tableColumn id="2" xr3:uid="{D7641074-B8E2-4992-BA6A-AF0B22139B45}" name="Employees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DA28A74-6C26-4E00-BFBA-28E8A3CC5F57}" name="Table5" displayName="Table5" ref="D37:E41" totalsRowShown="0">
  <autoFilter ref="D37:E41" xr:uid="{4DA28A74-6C26-4E00-BFBA-28E8A3CC5F57}"/>
  <tableColumns count="2">
    <tableColumn id="1" xr3:uid="{7E520468-DD8A-483C-8F30-EDB6CC0D00DE}" name="Metric"/>
    <tableColumn id="2" xr3:uid="{2F2714DD-EE69-48EF-8739-C1A4F884AC49}" name="Average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1032ED8-A92D-47A1-B206-2DA2AFF41FED}" name="Table3" displayName="Table3" ref="D43:F44" totalsRowShown="0">
  <autoFilter ref="D43:F44" xr:uid="{91032ED8-A92D-47A1-B206-2DA2AFF41FED}"/>
  <tableColumns count="3">
    <tableColumn id="1" xr3:uid="{29846353-F659-4880-B4FA-99B1D12043B6}" name="Work Hours" dataDxfId="13"/>
    <tableColumn id="2" xr3:uid="{9E7B9CCE-2E5D-46F5-AD95-974614D8A1E1}" name="Overtime Hours"/>
    <tableColumn id="3" xr3:uid="{2C2161A8-6C44-47C9-A5D9-E6AA7A39EBDD}" name="Meeting Hours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58E8EC8-67D3-463B-B5E9-45C66CC302F4}" name="Table6" displayName="Table6" ref="C113:H162" totalsRowShown="0">
  <autoFilter ref="C113:H162" xr:uid="{D58E8EC8-67D3-463B-B5E9-45C66CC302F4}"/>
  <tableColumns count="6">
    <tableColumn id="1" xr3:uid="{9726E99E-6087-4588-827E-63326DAF5EC4}" name="Employee Id" dataDxfId="12"/>
    <tableColumn id="2" xr3:uid="{2B201F26-3A47-43E6-B39A-700DA65E77FE}" name="Employee Name" dataDxfId="11"/>
    <tableColumn id="3" xr3:uid="{40D1E53C-F444-4260-8E78-CFEDEA30BD98}" name="Risk Score" dataDxfId="10">
      <calculatedColumnFormula>ROUND((Table6[[#This Row],[Overtime Hours]]/10*25)+((1-Table6[[#This Row],[Completion Rate]])*25),0)</calculatedColumnFormula>
    </tableColumn>
    <tableColumn id="4" xr3:uid="{55FCC6C0-709E-4FF9-8B4E-A7AF6DA0B57C}" name="Risk Zone" dataDxfId="9">
      <calculatedColumnFormula>IF(Table6[[#This Row],[Risk Score]]&lt;40,"Low Risk",IF(Table6[[#This Row],[Risk Score]]&lt;70,"Medium Risk","High Risk"))</calculatedColumnFormula>
    </tableColumn>
    <tableColumn id="5" xr3:uid="{739B90E1-7F77-46C4-8AAD-7FDA2938BD1F}" name="Overtime Hours" dataDxfId="8"/>
    <tableColumn id="6" xr3:uid="{110B18F0-27C5-4B4C-9CDE-ED1435F1ED18}" name="Completion Rate" dataDxfId="7">
      <calculatedColumnFormula>G114/F114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E5222-B231-4C82-B44F-EA2A37586A3A}">
  <dimension ref="A3:E54"/>
  <sheetViews>
    <sheetView topLeftCell="A30" workbookViewId="0">
      <selection activeCell="F38" sqref="F38"/>
    </sheetView>
  </sheetViews>
  <sheetFormatPr defaultRowHeight="14.4" x14ac:dyDescent="0.3"/>
  <cols>
    <col min="1" max="1" width="12.5546875" bestFit="1" customWidth="1"/>
    <col min="2" max="2" width="20.6640625" bestFit="1" customWidth="1"/>
    <col min="3" max="3" width="22.33203125" bestFit="1" customWidth="1"/>
  </cols>
  <sheetData>
    <row r="3" spans="1:5" x14ac:dyDescent="0.3">
      <c r="A3" s="30" t="s">
        <v>193</v>
      </c>
      <c r="B3" t="s">
        <v>204</v>
      </c>
      <c r="C3" t="s">
        <v>195</v>
      </c>
      <c r="D3" s="33" t="s">
        <v>202</v>
      </c>
      <c r="E3" s="1"/>
    </row>
    <row r="4" spans="1:5" x14ac:dyDescent="0.3">
      <c r="A4" s="31" t="s">
        <v>17</v>
      </c>
      <c r="B4">
        <v>42</v>
      </c>
      <c r="C4">
        <v>40</v>
      </c>
      <c r="D4" s="23">
        <f t="shared" ref="D4:D35" si="0">C4/B4</f>
        <v>0.95238095238095233</v>
      </c>
    </row>
    <row r="5" spans="1:5" x14ac:dyDescent="0.3">
      <c r="A5" s="31" t="s">
        <v>18</v>
      </c>
      <c r="B5">
        <v>48</v>
      </c>
      <c r="C5">
        <v>45</v>
      </c>
      <c r="D5" s="23">
        <f t="shared" si="0"/>
        <v>0.9375</v>
      </c>
    </row>
    <row r="6" spans="1:5" x14ac:dyDescent="0.3">
      <c r="A6" s="31" t="s">
        <v>19</v>
      </c>
      <c r="B6">
        <v>55</v>
      </c>
      <c r="C6">
        <v>48</v>
      </c>
      <c r="D6" s="23">
        <f t="shared" si="0"/>
        <v>0.87272727272727268</v>
      </c>
    </row>
    <row r="7" spans="1:5" x14ac:dyDescent="0.3">
      <c r="A7" s="31" t="s">
        <v>20</v>
      </c>
      <c r="B7">
        <v>38</v>
      </c>
      <c r="C7">
        <v>36</v>
      </c>
      <c r="D7" s="23">
        <f t="shared" si="0"/>
        <v>0.94736842105263153</v>
      </c>
    </row>
    <row r="8" spans="1:5" x14ac:dyDescent="0.3">
      <c r="A8" s="31" t="s">
        <v>21</v>
      </c>
      <c r="B8">
        <v>45</v>
      </c>
      <c r="C8">
        <v>43</v>
      </c>
      <c r="D8" s="23">
        <f t="shared" si="0"/>
        <v>0.9555555555555556</v>
      </c>
    </row>
    <row r="9" spans="1:5" x14ac:dyDescent="0.3">
      <c r="A9" s="31" t="s">
        <v>22</v>
      </c>
      <c r="B9">
        <v>58</v>
      </c>
      <c r="C9">
        <v>51</v>
      </c>
      <c r="D9" s="23">
        <f t="shared" si="0"/>
        <v>0.87931034482758619</v>
      </c>
    </row>
    <row r="10" spans="1:5" x14ac:dyDescent="0.3">
      <c r="A10" s="31" t="s">
        <v>23</v>
      </c>
      <c r="B10">
        <v>47</v>
      </c>
      <c r="C10">
        <v>44</v>
      </c>
      <c r="D10" s="23">
        <f t="shared" si="0"/>
        <v>0.93617021276595747</v>
      </c>
    </row>
    <row r="11" spans="1:5" x14ac:dyDescent="0.3">
      <c r="A11" s="31" t="s">
        <v>24</v>
      </c>
      <c r="B11">
        <v>51</v>
      </c>
      <c r="C11">
        <v>47</v>
      </c>
      <c r="D11" s="23">
        <f t="shared" si="0"/>
        <v>0.92156862745098034</v>
      </c>
    </row>
    <row r="12" spans="1:5" x14ac:dyDescent="0.3">
      <c r="A12" s="31" t="s">
        <v>25</v>
      </c>
      <c r="B12">
        <v>63</v>
      </c>
      <c r="C12">
        <v>52</v>
      </c>
      <c r="D12" s="23">
        <f t="shared" si="0"/>
        <v>0.82539682539682535</v>
      </c>
    </row>
    <row r="13" spans="1:5" x14ac:dyDescent="0.3">
      <c r="A13" s="31" t="s">
        <v>26</v>
      </c>
      <c r="B13">
        <v>40</v>
      </c>
      <c r="C13">
        <v>38</v>
      </c>
      <c r="D13" s="23">
        <f t="shared" si="0"/>
        <v>0.95</v>
      </c>
    </row>
    <row r="14" spans="1:5" x14ac:dyDescent="0.3">
      <c r="A14" s="31" t="s">
        <v>27</v>
      </c>
      <c r="B14">
        <v>54</v>
      </c>
      <c r="C14">
        <v>50</v>
      </c>
      <c r="D14" s="23">
        <f t="shared" si="0"/>
        <v>0.92592592592592593</v>
      </c>
    </row>
    <row r="15" spans="1:5" x14ac:dyDescent="0.3">
      <c r="A15" s="31" t="s">
        <v>28</v>
      </c>
      <c r="B15">
        <v>49</v>
      </c>
      <c r="C15">
        <v>45</v>
      </c>
      <c r="D15" s="23">
        <f t="shared" si="0"/>
        <v>0.91836734693877553</v>
      </c>
    </row>
    <row r="16" spans="1:5" x14ac:dyDescent="0.3">
      <c r="A16" s="31" t="s">
        <v>29</v>
      </c>
      <c r="B16">
        <v>60</v>
      </c>
      <c r="C16">
        <v>54</v>
      </c>
      <c r="D16" s="23">
        <f t="shared" si="0"/>
        <v>0.9</v>
      </c>
    </row>
    <row r="17" spans="1:4" x14ac:dyDescent="0.3">
      <c r="A17" s="31" t="s">
        <v>30</v>
      </c>
      <c r="B17">
        <v>44</v>
      </c>
      <c r="C17">
        <v>42</v>
      </c>
      <c r="D17" s="23">
        <f t="shared" si="0"/>
        <v>0.95454545454545459</v>
      </c>
    </row>
    <row r="18" spans="1:4" x14ac:dyDescent="0.3">
      <c r="A18" s="31" t="s">
        <v>31</v>
      </c>
      <c r="B18">
        <v>52</v>
      </c>
      <c r="C18">
        <v>49</v>
      </c>
      <c r="D18" s="23">
        <f t="shared" si="0"/>
        <v>0.94230769230769229</v>
      </c>
    </row>
    <row r="19" spans="1:4" x14ac:dyDescent="0.3">
      <c r="A19" s="31" t="s">
        <v>32</v>
      </c>
      <c r="B19">
        <v>67</v>
      </c>
      <c r="C19">
        <v>55</v>
      </c>
      <c r="D19" s="23">
        <f t="shared" si="0"/>
        <v>0.82089552238805974</v>
      </c>
    </row>
    <row r="20" spans="1:4" x14ac:dyDescent="0.3">
      <c r="A20" s="31" t="s">
        <v>33</v>
      </c>
      <c r="B20">
        <v>56</v>
      </c>
      <c r="C20">
        <v>51</v>
      </c>
      <c r="D20" s="23">
        <f t="shared" si="0"/>
        <v>0.9107142857142857</v>
      </c>
    </row>
    <row r="21" spans="1:4" x14ac:dyDescent="0.3">
      <c r="A21" s="31" t="s">
        <v>34</v>
      </c>
      <c r="B21">
        <v>46</v>
      </c>
      <c r="C21">
        <v>43</v>
      </c>
      <c r="D21" s="23">
        <f t="shared" si="0"/>
        <v>0.93478260869565222</v>
      </c>
    </row>
    <row r="22" spans="1:4" x14ac:dyDescent="0.3">
      <c r="A22" s="31" t="s">
        <v>35</v>
      </c>
      <c r="B22">
        <v>61</v>
      </c>
      <c r="C22">
        <v>53</v>
      </c>
      <c r="D22" s="23">
        <f t="shared" si="0"/>
        <v>0.86885245901639341</v>
      </c>
    </row>
    <row r="23" spans="1:4" x14ac:dyDescent="0.3">
      <c r="A23" s="31" t="s">
        <v>36</v>
      </c>
      <c r="B23">
        <v>50</v>
      </c>
      <c r="C23">
        <v>47</v>
      </c>
      <c r="D23" s="23">
        <f t="shared" si="0"/>
        <v>0.94</v>
      </c>
    </row>
    <row r="24" spans="1:4" x14ac:dyDescent="0.3">
      <c r="A24" s="31" t="s">
        <v>37</v>
      </c>
      <c r="B24">
        <v>39</v>
      </c>
      <c r="C24">
        <v>37</v>
      </c>
      <c r="D24" s="23">
        <f t="shared" si="0"/>
        <v>0.94871794871794868</v>
      </c>
    </row>
    <row r="25" spans="1:4" x14ac:dyDescent="0.3">
      <c r="A25" s="31" t="s">
        <v>38</v>
      </c>
      <c r="B25">
        <v>53</v>
      </c>
      <c r="C25">
        <v>48</v>
      </c>
      <c r="D25" s="23">
        <f t="shared" si="0"/>
        <v>0.90566037735849059</v>
      </c>
    </row>
    <row r="26" spans="1:4" x14ac:dyDescent="0.3">
      <c r="A26" s="31" t="s">
        <v>39</v>
      </c>
      <c r="B26">
        <v>65</v>
      </c>
      <c r="C26">
        <v>56</v>
      </c>
      <c r="D26" s="23">
        <f t="shared" si="0"/>
        <v>0.86153846153846159</v>
      </c>
    </row>
    <row r="27" spans="1:4" x14ac:dyDescent="0.3">
      <c r="A27" s="31" t="s">
        <v>40</v>
      </c>
      <c r="B27">
        <v>48</v>
      </c>
      <c r="C27">
        <v>45</v>
      </c>
      <c r="D27" s="23">
        <f t="shared" si="0"/>
        <v>0.9375</v>
      </c>
    </row>
    <row r="28" spans="1:4" x14ac:dyDescent="0.3">
      <c r="A28" s="31" t="s">
        <v>41</v>
      </c>
      <c r="B28">
        <v>43</v>
      </c>
      <c r="C28">
        <v>41</v>
      </c>
      <c r="D28" s="23">
        <f t="shared" si="0"/>
        <v>0.95348837209302328</v>
      </c>
    </row>
    <row r="29" spans="1:4" x14ac:dyDescent="0.3">
      <c r="A29" s="31" t="s">
        <v>42</v>
      </c>
      <c r="B29">
        <v>59</v>
      </c>
      <c r="C29">
        <v>52</v>
      </c>
      <c r="D29" s="23">
        <f t="shared" si="0"/>
        <v>0.88135593220338981</v>
      </c>
    </row>
    <row r="30" spans="1:4" x14ac:dyDescent="0.3">
      <c r="A30" s="31" t="s">
        <v>43</v>
      </c>
      <c r="B30">
        <v>51</v>
      </c>
      <c r="C30">
        <v>47</v>
      </c>
      <c r="D30" s="23">
        <f t="shared" si="0"/>
        <v>0.92156862745098034</v>
      </c>
    </row>
    <row r="31" spans="1:4" x14ac:dyDescent="0.3">
      <c r="A31" s="31" t="s">
        <v>44</v>
      </c>
      <c r="B31">
        <v>41</v>
      </c>
      <c r="C31">
        <v>39</v>
      </c>
      <c r="D31" s="23">
        <f t="shared" si="0"/>
        <v>0.95121951219512191</v>
      </c>
    </row>
    <row r="32" spans="1:4" x14ac:dyDescent="0.3">
      <c r="A32" s="31" t="s">
        <v>45</v>
      </c>
      <c r="B32">
        <v>64</v>
      </c>
      <c r="C32">
        <v>55</v>
      </c>
      <c r="D32" s="23">
        <f t="shared" si="0"/>
        <v>0.859375</v>
      </c>
    </row>
    <row r="33" spans="1:4" x14ac:dyDescent="0.3">
      <c r="A33" s="31" t="s">
        <v>46</v>
      </c>
      <c r="B33">
        <v>55</v>
      </c>
      <c r="C33">
        <v>50</v>
      </c>
      <c r="D33" s="23">
        <f t="shared" si="0"/>
        <v>0.90909090909090906</v>
      </c>
    </row>
    <row r="34" spans="1:4" x14ac:dyDescent="0.3">
      <c r="A34" s="31" t="s">
        <v>47</v>
      </c>
      <c r="B34">
        <v>47</v>
      </c>
      <c r="C34">
        <v>44</v>
      </c>
      <c r="D34" s="23">
        <f t="shared" si="0"/>
        <v>0.93617021276595747</v>
      </c>
    </row>
    <row r="35" spans="1:4" x14ac:dyDescent="0.3">
      <c r="A35" s="31" t="s">
        <v>48</v>
      </c>
      <c r="B35">
        <v>69</v>
      </c>
      <c r="C35">
        <v>57</v>
      </c>
      <c r="D35" s="23">
        <f t="shared" si="0"/>
        <v>0.82608695652173914</v>
      </c>
    </row>
    <row r="36" spans="1:4" x14ac:dyDescent="0.3">
      <c r="A36" s="31" t="s">
        <v>49</v>
      </c>
      <c r="B36">
        <v>42</v>
      </c>
      <c r="C36">
        <v>40</v>
      </c>
      <c r="D36" s="23">
        <f t="shared" ref="D36:D67" si="1">C36/B36</f>
        <v>0.95238095238095233</v>
      </c>
    </row>
    <row r="37" spans="1:4" x14ac:dyDescent="0.3">
      <c r="A37" s="31" t="s">
        <v>50</v>
      </c>
      <c r="B37">
        <v>50</v>
      </c>
      <c r="C37">
        <v>46</v>
      </c>
      <c r="D37" s="23">
        <f t="shared" si="1"/>
        <v>0.92</v>
      </c>
    </row>
    <row r="38" spans="1:4" x14ac:dyDescent="0.3">
      <c r="A38" s="31" t="s">
        <v>51</v>
      </c>
      <c r="B38">
        <v>57</v>
      </c>
      <c r="C38">
        <v>52</v>
      </c>
      <c r="D38" s="23">
        <f t="shared" si="1"/>
        <v>0.91228070175438591</v>
      </c>
    </row>
    <row r="39" spans="1:4" x14ac:dyDescent="0.3">
      <c r="A39" s="31" t="s">
        <v>52</v>
      </c>
      <c r="B39">
        <v>45</v>
      </c>
      <c r="C39">
        <v>42</v>
      </c>
      <c r="D39" s="23">
        <f t="shared" si="1"/>
        <v>0.93333333333333335</v>
      </c>
    </row>
    <row r="40" spans="1:4" x14ac:dyDescent="0.3">
      <c r="A40" s="31" t="s">
        <v>53</v>
      </c>
      <c r="B40">
        <v>71</v>
      </c>
      <c r="C40">
        <v>58</v>
      </c>
      <c r="D40" s="23">
        <f t="shared" si="1"/>
        <v>0.81690140845070425</v>
      </c>
    </row>
    <row r="41" spans="1:4" x14ac:dyDescent="0.3">
      <c r="A41" s="31" t="s">
        <v>54</v>
      </c>
      <c r="B41">
        <v>44</v>
      </c>
      <c r="C41">
        <v>41</v>
      </c>
      <c r="D41" s="23">
        <f t="shared" si="1"/>
        <v>0.93181818181818177</v>
      </c>
    </row>
    <row r="42" spans="1:4" x14ac:dyDescent="0.3">
      <c r="A42" s="31" t="s">
        <v>55</v>
      </c>
      <c r="B42">
        <v>58</v>
      </c>
      <c r="C42">
        <v>53</v>
      </c>
      <c r="D42" s="23">
        <f t="shared" si="1"/>
        <v>0.91379310344827591</v>
      </c>
    </row>
    <row r="43" spans="1:4" x14ac:dyDescent="0.3">
      <c r="A43" s="31" t="s">
        <v>56</v>
      </c>
      <c r="B43">
        <v>52</v>
      </c>
      <c r="C43">
        <v>48</v>
      </c>
      <c r="D43" s="23">
        <f t="shared" si="1"/>
        <v>0.92307692307692313</v>
      </c>
    </row>
    <row r="44" spans="1:4" x14ac:dyDescent="0.3">
      <c r="A44" s="31" t="s">
        <v>57</v>
      </c>
      <c r="B44">
        <v>62</v>
      </c>
      <c r="C44">
        <v>55</v>
      </c>
      <c r="D44" s="23">
        <f t="shared" si="1"/>
        <v>0.88709677419354838</v>
      </c>
    </row>
    <row r="45" spans="1:4" x14ac:dyDescent="0.3">
      <c r="A45" s="31" t="s">
        <v>58</v>
      </c>
      <c r="B45">
        <v>40</v>
      </c>
      <c r="C45">
        <v>38</v>
      </c>
      <c r="D45" s="23">
        <f t="shared" si="1"/>
        <v>0.95</v>
      </c>
    </row>
    <row r="46" spans="1:4" x14ac:dyDescent="0.3">
      <c r="A46" s="31" t="s">
        <v>59</v>
      </c>
      <c r="B46">
        <v>54</v>
      </c>
      <c r="C46">
        <v>49</v>
      </c>
      <c r="D46" s="23">
        <f t="shared" si="1"/>
        <v>0.90740740740740744</v>
      </c>
    </row>
    <row r="47" spans="1:4" x14ac:dyDescent="0.3">
      <c r="A47" s="31" t="s">
        <v>60</v>
      </c>
      <c r="B47">
        <v>66</v>
      </c>
      <c r="C47">
        <v>57</v>
      </c>
      <c r="D47" s="23">
        <f t="shared" si="1"/>
        <v>0.86363636363636365</v>
      </c>
    </row>
    <row r="48" spans="1:4" x14ac:dyDescent="0.3">
      <c r="A48" s="31" t="s">
        <v>61</v>
      </c>
      <c r="B48">
        <v>49</v>
      </c>
      <c r="C48">
        <v>46</v>
      </c>
      <c r="D48" s="23">
        <f t="shared" si="1"/>
        <v>0.93877551020408168</v>
      </c>
    </row>
    <row r="49" spans="1:4" x14ac:dyDescent="0.3">
      <c r="A49" s="31" t="s">
        <v>62</v>
      </c>
      <c r="B49">
        <v>60</v>
      </c>
      <c r="C49">
        <v>53</v>
      </c>
      <c r="D49" s="23">
        <f t="shared" si="1"/>
        <v>0.8833333333333333</v>
      </c>
    </row>
    <row r="50" spans="1:4" x14ac:dyDescent="0.3">
      <c r="A50" s="31" t="s">
        <v>63</v>
      </c>
      <c r="B50">
        <v>46</v>
      </c>
      <c r="C50">
        <v>44</v>
      </c>
      <c r="D50" s="23">
        <f t="shared" si="1"/>
        <v>0.95652173913043481</v>
      </c>
    </row>
    <row r="51" spans="1:4" x14ac:dyDescent="0.3">
      <c r="A51" s="31" t="s">
        <v>64</v>
      </c>
      <c r="B51">
        <v>57</v>
      </c>
      <c r="C51">
        <v>50</v>
      </c>
      <c r="D51" s="23">
        <f t="shared" si="1"/>
        <v>0.8771929824561403</v>
      </c>
    </row>
    <row r="52" spans="1:4" x14ac:dyDescent="0.3">
      <c r="A52" s="31" t="s">
        <v>65</v>
      </c>
      <c r="B52">
        <v>53</v>
      </c>
      <c r="C52">
        <v>47</v>
      </c>
      <c r="D52" s="23">
        <f t="shared" si="1"/>
        <v>0.8867924528301887</v>
      </c>
    </row>
    <row r="53" spans="1:4" x14ac:dyDescent="0.3">
      <c r="A53" s="31" t="s">
        <v>66</v>
      </c>
      <c r="D53" s="32"/>
    </row>
    <row r="54" spans="1:4" x14ac:dyDescent="0.3">
      <c r="A54" s="31" t="s">
        <v>194</v>
      </c>
      <c r="B54">
        <v>2566</v>
      </c>
      <c r="C54">
        <v>2323</v>
      </c>
      <c r="D54" s="2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25256-631A-4513-9640-67CA8E16E649}">
  <dimension ref="A1:R51"/>
  <sheetViews>
    <sheetView topLeftCell="A47" workbookViewId="0">
      <selection activeCell="A51" sqref="A51"/>
    </sheetView>
  </sheetViews>
  <sheetFormatPr defaultRowHeight="14.4" x14ac:dyDescent="0.3"/>
  <cols>
    <col min="1" max="1" width="14" customWidth="1"/>
    <col min="2" max="2" width="17.21875" customWidth="1"/>
    <col min="3" max="3" width="15.6640625" bestFit="1" customWidth="1"/>
    <col min="4" max="4" width="18.44140625" bestFit="1" customWidth="1"/>
    <col min="5" max="5" width="8.6640625" customWidth="1"/>
    <col min="6" max="6" width="13.6640625" bestFit="1" customWidth="1"/>
    <col min="7" max="7" width="16.44140625" customWidth="1"/>
    <col min="8" max="8" width="15.88671875" customWidth="1"/>
    <col min="9" max="9" width="17.44140625" customWidth="1"/>
    <col min="10" max="10" width="16.5546875" customWidth="1"/>
    <col min="11" max="11" width="15.77734375" customWidth="1"/>
    <col min="12" max="12" width="12.6640625" customWidth="1"/>
    <col min="13" max="13" width="18.33203125" customWidth="1"/>
    <col min="14" max="14" width="19.44140625" customWidth="1"/>
    <col min="15" max="15" width="16.77734375" customWidth="1"/>
    <col min="16" max="16" width="22.109375" customWidth="1"/>
    <col min="17" max="17" width="11.33203125" bestFit="1" customWidth="1"/>
    <col min="18" max="18" width="8.88671875" style="23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3" t="s">
        <v>203</v>
      </c>
    </row>
    <row r="2" spans="1:18" x14ac:dyDescent="0.3">
      <c r="A2" t="s">
        <v>17</v>
      </c>
      <c r="B2" t="s">
        <v>67</v>
      </c>
      <c r="C2" t="s">
        <v>116</v>
      </c>
      <c r="D2" t="s">
        <v>122</v>
      </c>
      <c r="E2" t="s">
        <v>136</v>
      </c>
      <c r="F2">
        <v>168</v>
      </c>
      <c r="G2">
        <v>168</v>
      </c>
      <c r="H2">
        <v>42</v>
      </c>
      <c r="I2">
        <v>40</v>
      </c>
      <c r="J2">
        <v>4</v>
      </c>
      <c r="K2">
        <v>18</v>
      </c>
      <c r="L2">
        <v>1</v>
      </c>
      <c r="M2">
        <v>8</v>
      </c>
      <c r="N2">
        <v>8</v>
      </c>
      <c r="O2">
        <v>1</v>
      </c>
      <c r="P2">
        <v>5</v>
      </c>
      <c r="Q2" t="s">
        <v>148</v>
      </c>
      <c r="R2" s="23">
        <f t="shared" ref="R2:R33" si="0">I2/H2</f>
        <v>0.95238095238095233</v>
      </c>
    </row>
    <row r="3" spans="1:18" x14ac:dyDescent="0.3">
      <c r="A3" t="s">
        <v>18</v>
      </c>
      <c r="B3" t="s">
        <v>68</v>
      </c>
      <c r="C3" t="s">
        <v>117</v>
      </c>
      <c r="D3" t="s">
        <v>123</v>
      </c>
      <c r="E3" t="s">
        <v>137</v>
      </c>
      <c r="F3">
        <v>176</v>
      </c>
      <c r="G3">
        <v>168</v>
      </c>
      <c r="H3">
        <v>48</v>
      </c>
      <c r="I3">
        <v>45</v>
      </c>
      <c r="J3">
        <v>8</v>
      </c>
      <c r="K3">
        <v>22</v>
      </c>
      <c r="L3">
        <v>0</v>
      </c>
      <c r="M3">
        <v>6</v>
      </c>
      <c r="N3">
        <v>7</v>
      </c>
      <c r="O3">
        <v>2</v>
      </c>
      <c r="P3">
        <v>8</v>
      </c>
      <c r="Q3" t="s">
        <v>148</v>
      </c>
      <c r="R3" s="23">
        <f t="shared" si="0"/>
        <v>0.9375</v>
      </c>
    </row>
    <row r="4" spans="1:18" x14ac:dyDescent="0.3">
      <c r="A4" t="s">
        <v>19</v>
      </c>
      <c r="B4" t="s">
        <v>69</v>
      </c>
      <c r="C4" t="s">
        <v>118</v>
      </c>
      <c r="D4" t="s">
        <v>124</v>
      </c>
      <c r="E4" t="s">
        <v>138</v>
      </c>
      <c r="F4">
        <v>182</v>
      </c>
      <c r="G4">
        <v>168</v>
      </c>
      <c r="H4">
        <v>55</v>
      </c>
      <c r="I4">
        <v>48</v>
      </c>
      <c r="J4">
        <v>16</v>
      </c>
      <c r="K4">
        <v>27</v>
      </c>
      <c r="L4">
        <v>0</v>
      </c>
      <c r="M4">
        <v>5</v>
      </c>
      <c r="N4">
        <v>7</v>
      </c>
      <c r="O4">
        <v>3</v>
      </c>
      <c r="P4">
        <v>12</v>
      </c>
      <c r="Q4" t="s">
        <v>149</v>
      </c>
      <c r="R4" s="23">
        <f t="shared" si="0"/>
        <v>0.87272727272727268</v>
      </c>
    </row>
    <row r="5" spans="1:18" x14ac:dyDescent="0.3">
      <c r="A5" t="s">
        <v>20</v>
      </c>
      <c r="B5" t="s">
        <v>70</v>
      </c>
      <c r="C5" t="s">
        <v>119</v>
      </c>
      <c r="D5" t="s">
        <v>125</v>
      </c>
      <c r="E5" t="s">
        <v>139</v>
      </c>
      <c r="F5">
        <v>160</v>
      </c>
      <c r="G5">
        <v>168</v>
      </c>
      <c r="H5">
        <v>38</v>
      </c>
      <c r="I5">
        <v>36</v>
      </c>
      <c r="J5">
        <v>2</v>
      </c>
      <c r="K5">
        <v>15</v>
      </c>
      <c r="L5">
        <v>2</v>
      </c>
      <c r="M5">
        <v>9</v>
      </c>
      <c r="N5">
        <v>9</v>
      </c>
      <c r="O5">
        <v>0</v>
      </c>
      <c r="P5">
        <v>3</v>
      </c>
      <c r="Q5" t="s">
        <v>149</v>
      </c>
      <c r="R5" s="23">
        <f t="shared" si="0"/>
        <v>0.94736842105263153</v>
      </c>
    </row>
    <row r="6" spans="1:18" x14ac:dyDescent="0.3">
      <c r="A6" t="s">
        <v>21</v>
      </c>
      <c r="B6" t="s">
        <v>71</v>
      </c>
      <c r="C6" t="s">
        <v>120</v>
      </c>
      <c r="D6" t="s">
        <v>126</v>
      </c>
      <c r="E6" t="s">
        <v>140</v>
      </c>
      <c r="F6">
        <v>171</v>
      </c>
      <c r="G6">
        <v>168</v>
      </c>
      <c r="H6">
        <v>45</v>
      </c>
      <c r="I6">
        <v>43</v>
      </c>
      <c r="J6">
        <v>6</v>
      </c>
      <c r="K6">
        <v>20</v>
      </c>
      <c r="L6">
        <v>1</v>
      </c>
      <c r="M6">
        <v>7</v>
      </c>
      <c r="N6">
        <v>8</v>
      </c>
      <c r="O6">
        <v>1</v>
      </c>
      <c r="P6">
        <v>6</v>
      </c>
      <c r="Q6" t="s">
        <v>150</v>
      </c>
      <c r="R6" s="23">
        <f t="shared" si="0"/>
        <v>0.9555555555555556</v>
      </c>
    </row>
    <row r="7" spans="1:18" x14ac:dyDescent="0.3">
      <c r="A7" t="s">
        <v>22</v>
      </c>
      <c r="B7" t="s">
        <v>72</v>
      </c>
      <c r="C7" t="s">
        <v>121</v>
      </c>
      <c r="D7" t="s">
        <v>127</v>
      </c>
      <c r="E7" t="s">
        <v>141</v>
      </c>
      <c r="F7">
        <v>185</v>
      </c>
      <c r="G7">
        <v>168</v>
      </c>
      <c r="H7">
        <v>58</v>
      </c>
      <c r="I7">
        <v>51</v>
      </c>
      <c r="J7">
        <v>18</v>
      </c>
      <c r="K7">
        <v>30</v>
      </c>
      <c r="L7">
        <v>0</v>
      </c>
      <c r="M7">
        <v>4</v>
      </c>
      <c r="N7">
        <v>6</v>
      </c>
      <c r="O7">
        <v>4</v>
      </c>
      <c r="P7">
        <v>15</v>
      </c>
      <c r="Q7" t="s">
        <v>150</v>
      </c>
      <c r="R7" s="23">
        <f t="shared" si="0"/>
        <v>0.87931034482758619</v>
      </c>
    </row>
    <row r="8" spans="1:18" x14ac:dyDescent="0.3">
      <c r="A8" t="s">
        <v>23</v>
      </c>
      <c r="B8" t="s">
        <v>73</v>
      </c>
      <c r="C8" t="s">
        <v>116</v>
      </c>
      <c r="D8" t="s">
        <v>128</v>
      </c>
      <c r="E8" t="s">
        <v>142</v>
      </c>
      <c r="F8">
        <v>172</v>
      </c>
      <c r="G8">
        <v>168</v>
      </c>
      <c r="H8">
        <v>47</v>
      </c>
      <c r="I8">
        <v>44</v>
      </c>
      <c r="J8">
        <v>5</v>
      </c>
      <c r="K8">
        <v>19</v>
      </c>
      <c r="L8">
        <v>1</v>
      </c>
      <c r="M8">
        <v>8</v>
      </c>
      <c r="N8">
        <v>8</v>
      </c>
      <c r="O8">
        <v>1</v>
      </c>
      <c r="P8">
        <v>5</v>
      </c>
      <c r="Q8" t="s">
        <v>148</v>
      </c>
      <c r="R8" s="23">
        <f t="shared" si="0"/>
        <v>0.93617021276595747</v>
      </c>
    </row>
    <row r="9" spans="1:18" x14ac:dyDescent="0.3">
      <c r="A9" t="s">
        <v>24</v>
      </c>
      <c r="B9" t="s">
        <v>74</v>
      </c>
      <c r="C9" t="s">
        <v>117</v>
      </c>
      <c r="D9" t="s">
        <v>129</v>
      </c>
      <c r="E9" t="s">
        <v>143</v>
      </c>
      <c r="F9">
        <v>178</v>
      </c>
      <c r="G9">
        <v>168</v>
      </c>
      <c r="H9">
        <v>51</v>
      </c>
      <c r="I9">
        <v>47</v>
      </c>
      <c r="J9">
        <v>10</v>
      </c>
      <c r="K9">
        <v>24</v>
      </c>
      <c r="L9">
        <v>0</v>
      </c>
      <c r="M9">
        <v>7</v>
      </c>
      <c r="N9">
        <v>8</v>
      </c>
      <c r="O9">
        <v>2</v>
      </c>
      <c r="P9">
        <v>9</v>
      </c>
      <c r="Q9" t="s">
        <v>148</v>
      </c>
      <c r="R9" s="23">
        <f t="shared" si="0"/>
        <v>0.92156862745098034</v>
      </c>
    </row>
    <row r="10" spans="1:18" x14ac:dyDescent="0.3">
      <c r="A10" t="s">
        <v>25</v>
      </c>
      <c r="B10" t="s">
        <v>75</v>
      </c>
      <c r="C10" t="s">
        <v>118</v>
      </c>
      <c r="D10" t="s">
        <v>130</v>
      </c>
      <c r="E10" t="s">
        <v>144</v>
      </c>
      <c r="F10">
        <v>190</v>
      </c>
      <c r="G10">
        <v>168</v>
      </c>
      <c r="H10">
        <v>63</v>
      </c>
      <c r="I10">
        <v>52</v>
      </c>
      <c r="J10">
        <v>24</v>
      </c>
      <c r="K10">
        <v>31</v>
      </c>
      <c r="L10">
        <v>0</v>
      </c>
      <c r="M10">
        <v>4</v>
      </c>
      <c r="N10">
        <v>6</v>
      </c>
      <c r="O10">
        <v>5</v>
      </c>
      <c r="P10">
        <v>18</v>
      </c>
      <c r="Q10" t="s">
        <v>149</v>
      </c>
      <c r="R10" s="23">
        <f t="shared" si="0"/>
        <v>0.82539682539682535</v>
      </c>
    </row>
    <row r="11" spans="1:18" x14ac:dyDescent="0.3">
      <c r="A11" t="s">
        <v>26</v>
      </c>
      <c r="B11" t="s">
        <v>76</v>
      </c>
      <c r="C11" t="s">
        <v>119</v>
      </c>
      <c r="D11" t="s">
        <v>131</v>
      </c>
      <c r="E11" t="s">
        <v>145</v>
      </c>
      <c r="F11">
        <v>165</v>
      </c>
      <c r="G11">
        <v>168</v>
      </c>
      <c r="H11">
        <v>40</v>
      </c>
      <c r="I11">
        <v>38</v>
      </c>
      <c r="J11">
        <v>3</v>
      </c>
      <c r="K11">
        <v>17</v>
      </c>
      <c r="L11">
        <v>2</v>
      </c>
      <c r="M11">
        <v>8</v>
      </c>
      <c r="N11">
        <v>9</v>
      </c>
      <c r="O11">
        <v>0</v>
      </c>
      <c r="P11">
        <v>4</v>
      </c>
      <c r="Q11" t="s">
        <v>149</v>
      </c>
      <c r="R11" s="23">
        <f t="shared" si="0"/>
        <v>0.95</v>
      </c>
    </row>
    <row r="12" spans="1:18" x14ac:dyDescent="0.3">
      <c r="A12" t="s">
        <v>27</v>
      </c>
      <c r="B12" t="s">
        <v>77</v>
      </c>
      <c r="C12" t="s">
        <v>120</v>
      </c>
      <c r="D12" t="s">
        <v>132</v>
      </c>
      <c r="E12" t="s">
        <v>146</v>
      </c>
      <c r="F12">
        <v>180</v>
      </c>
      <c r="G12">
        <v>168</v>
      </c>
      <c r="H12">
        <v>54</v>
      </c>
      <c r="I12">
        <v>50</v>
      </c>
      <c r="J12">
        <v>14</v>
      </c>
      <c r="K12">
        <v>26</v>
      </c>
      <c r="L12">
        <v>1</v>
      </c>
      <c r="M12">
        <v>5</v>
      </c>
      <c r="N12">
        <v>7</v>
      </c>
      <c r="O12">
        <v>3</v>
      </c>
      <c r="P12">
        <v>11</v>
      </c>
      <c r="Q12" t="s">
        <v>150</v>
      </c>
      <c r="R12" s="23">
        <f t="shared" si="0"/>
        <v>0.92592592592592593</v>
      </c>
    </row>
    <row r="13" spans="1:18" x14ac:dyDescent="0.3">
      <c r="A13" t="s">
        <v>28</v>
      </c>
      <c r="B13" t="s">
        <v>78</v>
      </c>
      <c r="C13" t="s">
        <v>121</v>
      </c>
      <c r="D13" t="s">
        <v>133</v>
      </c>
      <c r="E13" t="s">
        <v>147</v>
      </c>
      <c r="F13">
        <v>174</v>
      </c>
      <c r="G13">
        <v>168</v>
      </c>
      <c r="H13">
        <v>49</v>
      </c>
      <c r="I13">
        <v>45</v>
      </c>
      <c r="J13">
        <v>9</v>
      </c>
      <c r="K13">
        <v>21</v>
      </c>
      <c r="L13">
        <v>0</v>
      </c>
      <c r="M13">
        <v>6</v>
      </c>
      <c r="N13">
        <v>8</v>
      </c>
      <c r="O13">
        <v>2</v>
      </c>
      <c r="P13">
        <v>7</v>
      </c>
      <c r="Q13" t="s">
        <v>150</v>
      </c>
      <c r="R13" s="23">
        <f t="shared" si="0"/>
        <v>0.91836734693877553</v>
      </c>
    </row>
    <row r="14" spans="1:18" x14ac:dyDescent="0.3">
      <c r="A14" t="s">
        <v>29</v>
      </c>
      <c r="B14" t="s">
        <v>79</v>
      </c>
      <c r="C14" t="s">
        <v>116</v>
      </c>
      <c r="D14" t="s">
        <v>134</v>
      </c>
      <c r="E14" t="s">
        <v>136</v>
      </c>
      <c r="F14">
        <v>188</v>
      </c>
      <c r="G14">
        <v>168</v>
      </c>
      <c r="H14">
        <v>60</v>
      </c>
      <c r="I14">
        <v>54</v>
      </c>
      <c r="J14">
        <v>20</v>
      </c>
      <c r="K14">
        <v>29</v>
      </c>
      <c r="L14">
        <v>0</v>
      </c>
      <c r="M14">
        <v>4</v>
      </c>
      <c r="N14">
        <v>6</v>
      </c>
      <c r="O14">
        <v>4</v>
      </c>
      <c r="P14">
        <v>16</v>
      </c>
      <c r="Q14" t="s">
        <v>148</v>
      </c>
      <c r="R14" s="23">
        <f t="shared" si="0"/>
        <v>0.9</v>
      </c>
    </row>
    <row r="15" spans="1:18" x14ac:dyDescent="0.3">
      <c r="A15" t="s">
        <v>30</v>
      </c>
      <c r="B15" t="s">
        <v>80</v>
      </c>
      <c r="C15" t="s">
        <v>117</v>
      </c>
      <c r="D15" t="s">
        <v>123</v>
      </c>
      <c r="E15" t="s">
        <v>137</v>
      </c>
      <c r="F15">
        <v>169</v>
      </c>
      <c r="G15">
        <v>168</v>
      </c>
      <c r="H15">
        <v>44</v>
      </c>
      <c r="I15">
        <v>42</v>
      </c>
      <c r="J15">
        <v>5</v>
      </c>
      <c r="K15">
        <v>18</v>
      </c>
      <c r="L15">
        <v>1</v>
      </c>
      <c r="M15">
        <v>8</v>
      </c>
      <c r="N15">
        <v>8</v>
      </c>
      <c r="O15">
        <v>1</v>
      </c>
      <c r="P15">
        <v>6</v>
      </c>
      <c r="Q15" t="s">
        <v>148</v>
      </c>
      <c r="R15" s="23">
        <f t="shared" si="0"/>
        <v>0.95454545454545459</v>
      </c>
    </row>
    <row r="16" spans="1:18" x14ac:dyDescent="0.3">
      <c r="A16" t="s">
        <v>31</v>
      </c>
      <c r="B16" t="s">
        <v>81</v>
      </c>
      <c r="C16" t="s">
        <v>118</v>
      </c>
      <c r="D16" t="s">
        <v>135</v>
      </c>
      <c r="E16" t="s">
        <v>138</v>
      </c>
      <c r="F16">
        <v>176</v>
      </c>
      <c r="G16">
        <v>168</v>
      </c>
      <c r="H16">
        <v>52</v>
      </c>
      <c r="I16">
        <v>49</v>
      </c>
      <c r="J16">
        <v>11</v>
      </c>
      <c r="K16">
        <v>23</v>
      </c>
      <c r="L16">
        <v>0</v>
      </c>
      <c r="M16">
        <v>7</v>
      </c>
      <c r="N16">
        <v>8</v>
      </c>
      <c r="O16">
        <v>2</v>
      </c>
      <c r="P16">
        <v>10</v>
      </c>
      <c r="Q16" t="s">
        <v>149</v>
      </c>
      <c r="R16" s="23">
        <f t="shared" si="0"/>
        <v>0.94230769230769229</v>
      </c>
    </row>
    <row r="17" spans="1:18" x14ac:dyDescent="0.3">
      <c r="A17" t="s">
        <v>32</v>
      </c>
      <c r="B17" t="s">
        <v>82</v>
      </c>
      <c r="C17" t="s">
        <v>119</v>
      </c>
      <c r="D17" t="s">
        <v>125</v>
      </c>
      <c r="E17" t="s">
        <v>139</v>
      </c>
      <c r="F17">
        <v>192</v>
      </c>
      <c r="G17">
        <v>168</v>
      </c>
      <c r="H17">
        <v>67</v>
      </c>
      <c r="I17">
        <v>55</v>
      </c>
      <c r="J17">
        <v>26</v>
      </c>
      <c r="K17">
        <v>34</v>
      </c>
      <c r="L17">
        <v>0</v>
      </c>
      <c r="M17">
        <v>3</v>
      </c>
      <c r="N17">
        <v>5</v>
      </c>
      <c r="O17">
        <v>6</v>
      </c>
      <c r="P17">
        <v>20</v>
      </c>
      <c r="Q17" t="s">
        <v>149</v>
      </c>
      <c r="R17" s="23">
        <f t="shared" si="0"/>
        <v>0.82089552238805974</v>
      </c>
    </row>
    <row r="18" spans="1:18" x14ac:dyDescent="0.3">
      <c r="A18" t="s">
        <v>33</v>
      </c>
      <c r="B18" t="s">
        <v>83</v>
      </c>
      <c r="C18" t="s">
        <v>120</v>
      </c>
      <c r="D18" t="s">
        <v>126</v>
      </c>
      <c r="E18" t="s">
        <v>140</v>
      </c>
      <c r="F18">
        <v>181</v>
      </c>
      <c r="G18">
        <v>168</v>
      </c>
      <c r="H18">
        <v>56</v>
      </c>
      <c r="I18">
        <v>51</v>
      </c>
      <c r="J18">
        <v>15</v>
      </c>
      <c r="K18">
        <v>28</v>
      </c>
      <c r="L18">
        <v>1</v>
      </c>
      <c r="M18">
        <v>5</v>
      </c>
      <c r="N18">
        <v>7</v>
      </c>
      <c r="O18">
        <v>3</v>
      </c>
      <c r="P18">
        <v>13</v>
      </c>
      <c r="Q18" t="s">
        <v>150</v>
      </c>
      <c r="R18" s="23">
        <f t="shared" si="0"/>
        <v>0.9107142857142857</v>
      </c>
    </row>
    <row r="19" spans="1:18" x14ac:dyDescent="0.3">
      <c r="A19" t="s">
        <v>34</v>
      </c>
      <c r="B19" t="s">
        <v>84</v>
      </c>
      <c r="C19" t="s">
        <v>121</v>
      </c>
      <c r="D19" t="s">
        <v>127</v>
      </c>
      <c r="E19" t="s">
        <v>141</v>
      </c>
      <c r="F19">
        <v>170</v>
      </c>
      <c r="G19">
        <v>168</v>
      </c>
      <c r="H19">
        <v>46</v>
      </c>
      <c r="I19">
        <v>43</v>
      </c>
      <c r="J19">
        <v>7</v>
      </c>
      <c r="K19">
        <v>20</v>
      </c>
      <c r="L19">
        <v>2</v>
      </c>
      <c r="M19">
        <v>8</v>
      </c>
      <c r="N19">
        <v>9</v>
      </c>
      <c r="O19">
        <v>1</v>
      </c>
      <c r="P19">
        <v>5</v>
      </c>
      <c r="Q19" t="s">
        <v>150</v>
      </c>
      <c r="R19" s="23">
        <f t="shared" si="0"/>
        <v>0.93478260869565222</v>
      </c>
    </row>
    <row r="20" spans="1:18" x14ac:dyDescent="0.3">
      <c r="A20" t="s">
        <v>35</v>
      </c>
      <c r="B20" t="s">
        <v>85</v>
      </c>
      <c r="C20" t="s">
        <v>116</v>
      </c>
      <c r="D20" t="s">
        <v>128</v>
      </c>
      <c r="E20" t="s">
        <v>142</v>
      </c>
      <c r="F20">
        <v>186</v>
      </c>
      <c r="G20">
        <v>168</v>
      </c>
      <c r="H20">
        <v>61</v>
      </c>
      <c r="I20">
        <v>53</v>
      </c>
      <c r="J20">
        <v>22</v>
      </c>
      <c r="K20">
        <v>32</v>
      </c>
      <c r="L20">
        <v>0</v>
      </c>
      <c r="M20">
        <v>4</v>
      </c>
      <c r="N20">
        <v>6</v>
      </c>
      <c r="O20">
        <v>5</v>
      </c>
      <c r="P20">
        <v>17</v>
      </c>
      <c r="Q20" t="s">
        <v>148</v>
      </c>
      <c r="R20" s="23">
        <f t="shared" si="0"/>
        <v>0.86885245901639341</v>
      </c>
    </row>
    <row r="21" spans="1:18" x14ac:dyDescent="0.3">
      <c r="A21" t="s">
        <v>36</v>
      </c>
      <c r="B21" t="s">
        <v>86</v>
      </c>
      <c r="C21" t="s">
        <v>117</v>
      </c>
      <c r="D21" t="s">
        <v>129</v>
      </c>
      <c r="E21" t="s">
        <v>143</v>
      </c>
      <c r="F21">
        <v>175</v>
      </c>
      <c r="G21">
        <v>168</v>
      </c>
      <c r="H21">
        <v>50</v>
      </c>
      <c r="I21">
        <v>47</v>
      </c>
      <c r="J21">
        <v>12</v>
      </c>
      <c r="K21">
        <v>25</v>
      </c>
      <c r="L21">
        <v>1</v>
      </c>
      <c r="M21">
        <v>6</v>
      </c>
      <c r="N21">
        <v>7</v>
      </c>
      <c r="O21">
        <v>2</v>
      </c>
      <c r="P21">
        <v>9</v>
      </c>
      <c r="Q21" t="s">
        <v>148</v>
      </c>
      <c r="R21" s="23">
        <f t="shared" si="0"/>
        <v>0.94</v>
      </c>
    </row>
    <row r="22" spans="1:18" x14ac:dyDescent="0.3">
      <c r="A22" t="s">
        <v>37</v>
      </c>
      <c r="B22" t="s">
        <v>87</v>
      </c>
      <c r="C22" t="s">
        <v>118</v>
      </c>
      <c r="D22" t="s">
        <v>134</v>
      </c>
      <c r="E22" t="s">
        <v>144</v>
      </c>
      <c r="F22">
        <v>164</v>
      </c>
      <c r="G22">
        <v>168</v>
      </c>
      <c r="H22">
        <v>39</v>
      </c>
      <c r="I22">
        <v>37</v>
      </c>
      <c r="J22">
        <v>1</v>
      </c>
      <c r="K22">
        <v>14</v>
      </c>
      <c r="L22">
        <v>3</v>
      </c>
      <c r="M22">
        <v>9</v>
      </c>
      <c r="N22">
        <v>9</v>
      </c>
      <c r="O22">
        <v>0</v>
      </c>
      <c r="P22">
        <v>2</v>
      </c>
      <c r="Q22" t="s">
        <v>149</v>
      </c>
      <c r="R22" s="23">
        <f t="shared" si="0"/>
        <v>0.94871794871794868</v>
      </c>
    </row>
    <row r="23" spans="1:18" x14ac:dyDescent="0.3">
      <c r="A23" t="s">
        <v>38</v>
      </c>
      <c r="B23" t="s">
        <v>88</v>
      </c>
      <c r="C23" t="s">
        <v>119</v>
      </c>
      <c r="D23" t="s">
        <v>124</v>
      </c>
      <c r="E23" t="s">
        <v>145</v>
      </c>
      <c r="F23">
        <v>179</v>
      </c>
      <c r="G23">
        <v>168</v>
      </c>
      <c r="H23">
        <v>53</v>
      </c>
      <c r="I23">
        <v>48</v>
      </c>
      <c r="J23">
        <v>13</v>
      </c>
      <c r="K23">
        <v>24</v>
      </c>
      <c r="L23">
        <v>0</v>
      </c>
      <c r="M23">
        <v>6</v>
      </c>
      <c r="N23">
        <v>7</v>
      </c>
      <c r="O23">
        <v>2</v>
      </c>
      <c r="P23">
        <v>10</v>
      </c>
      <c r="Q23" t="s">
        <v>149</v>
      </c>
      <c r="R23" s="23">
        <f t="shared" si="0"/>
        <v>0.90566037735849059</v>
      </c>
    </row>
    <row r="24" spans="1:18" x14ac:dyDescent="0.3">
      <c r="A24" t="s">
        <v>39</v>
      </c>
      <c r="B24" t="s">
        <v>89</v>
      </c>
      <c r="C24" t="s">
        <v>120</v>
      </c>
      <c r="D24" t="s">
        <v>132</v>
      </c>
      <c r="E24" t="s">
        <v>146</v>
      </c>
      <c r="F24">
        <v>191</v>
      </c>
      <c r="G24">
        <v>168</v>
      </c>
      <c r="H24">
        <v>65</v>
      </c>
      <c r="I24">
        <v>56</v>
      </c>
      <c r="J24">
        <v>25</v>
      </c>
      <c r="K24">
        <v>30</v>
      </c>
      <c r="L24">
        <v>0</v>
      </c>
      <c r="M24">
        <v>4</v>
      </c>
      <c r="N24">
        <v>6</v>
      </c>
      <c r="O24">
        <v>5</v>
      </c>
      <c r="P24">
        <v>19</v>
      </c>
      <c r="Q24" t="s">
        <v>150</v>
      </c>
      <c r="R24" s="23">
        <f t="shared" si="0"/>
        <v>0.86153846153846159</v>
      </c>
    </row>
    <row r="25" spans="1:18" x14ac:dyDescent="0.3">
      <c r="A25" t="s">
        <v>40</v>
      </c>
      <c r="B25" t="s">
        <v>90</v>
      </c>
      <c r="C25" t="s">
        <v>121</v>
      </c>
      <c r="D25" t="s">
        <v>133</v>
      </c>
      <c r="E25" t="s">
        <v>147</v>
      </c>
      <c r="F25">
        <v>173</v>
      </c>
      <c r="G25">
        <v>168</v>
      </c>
      <c r="H25">
        <v>48</v>
      </c>
      <c r="I25">
        <v>45</v>
      </c>
      <c r="J25">
        <v>6</v>
      </c>
      <c r="K25">
        <v>22</v>
      </c>
      <c r="L25">
        <v>1</v>
      </c>
      <c r="M25">
        <v>7</v>
      </c>
      <c r="N25">
        <v>8</v>
      </c>
      <c r="O25">
        <v>1</v>
      </c>
      <c r="P25">
        <v>6</v>
      </c>
      <c r="Q25" t="s">
        <v>150</v>
      </c>
      <c r="R25" s="23">
        <f t="shared" si="0"/>
        <v>0.9375</v>
      </c>
    </row>
    <row r="26" spans="1:18" x14ac:dyDescent="0.3">
      <c r="A26" t="s">
        <v>41</v>
      </c>
      <c r="B26" t="s">
        <v>91</v>
      </c>
      <c r="C26" t="s">
        <v>116</v>
      </c>
      <c r="D26" t="s">
        <v>122</v>
      </c>
      <c r="E26" t="s">
        <v>136</v>
      </c>
      <c r="F26">
        <v>168</v>
      </c>
      <c r="G26">
        <v>168</v>
      </c>
      <c r="H26">
        <v>43</v>
      </c>
      <c r="I26">
        <v>41</v>
      </c>
      <c r="J26">
        <v>4</v>
      </c>
      <c r="K26">
        <v>18</v>
      </c>
      <c r="L26">
        <v>2</v>
      </c>
      <c r="M26">
        <v>8</v>
      </c>
      <c r="N26">
        <v>9</v>
      </c>
      <c r="O26">
        <v>1</v>
      </c>
      <c r="P26">
        <v>4</v>
      </c>
      <c r="Q26" t="s">
        <v>148</v>
      </c>
      <c r="R26" s="23">
        <f t="shared" si="0"/>
        <v>0.95348837209302328</v>
      </c>
    </row>
    <row r="27" spans="1:18" x14ac:dyDescent="0.3">
      <c r="A27" t="s">
        <v>42</v>
      </c>
      <c r="B27" t="s">
        <v>92</v>
      </c>
      <c r="C27" t="s">
        <v>117</v>
      </c>
      <c r="D27" t="s">
        <v>123</v>
      </c>
      <c r="E27" t="s">
        <v>137</v>
      </c>
      <c r="F27">
        <v>184</v>
      </c>
      <c r="G27">
        <v>168</v>
      </c>
      <c r="H27">
        <v>59</v>
      </c>
      <c r="I27">
        <v>52</v>
      </c>
      <c r="J27">
        <v>17</v>
      </c>
      <c r="K27">
        <v>29</v>
      </c>
      <c r="L27">
        <v>0</v>
      </c>
      <c r="M27">
        <v>5</v>
      </c>
      <c r="N27">
        <v>7</v>
      </c>
      <c r="O27">
        <v>4</v>
      </c>
      <c r="P27">
        <v>14</v>
      </c>
      <c r="Q27" t="s">
        <v>148</v>
      </c>
      <c r="R27" s="23">
        <f t="shared" si="0"/>
        <v>0.88135593220338981</v>
      </c>
    </row>
    <row r="28" spans="1:18" x14ac:dyDescent="0.3">
      <c r="A28" t="s">
        <v>43</v>
      </c>
      <c r="B28" t="s">
        <v>93</v>
      </c>
      <c r="C28" t="s">
        <v>118</v>
      </c>
      <c r="D28" t="s">
        <v>130</v>
      </c>
      <c r="E28" t="s">
        <v>138</v>
      </c>
      <c r="F28">
        <v>177</v>
      </c>
      <c r="G28">
        <v>168</v>
      </c>
      <c r="H28">
        <v>51</v>
      </c>
      <c r="I28">
        <v>47</v>
      </c>
      <c r="J28">
        <v>8</v>
      </c>
      <c r="K28">
        <v>23</v>
      </c>
      <c r="L28">
        <v>1</v>
      </c>
      <c r="M28">
        <v>6</v>
      </c>
      <c r="N28">
        <v>8</v>
      </c>
      <c r="O28">
        <v>2</v>
      </c>
      <c r="P28">
        <v>8</v>
      </c>
      <c r="Q28" t="s">
        <v>149</v>
      </c>
      <c r="R28" s="23">
        <f t="shared" si="0"/>
        <v>0.92156862745098034</v>
      </c>
    </row>
    <row r="29" spans="1:18" x14ac:dyDescent="0.3">
      <c r="A29" t="s">
        <v>44</v>
      </c>
      <c r="B29" t="s">
        <v>94</v>
      </c>
      <c r="C29" t="s">
        <v>119</v>
      </c>
      <c r="D29" t="s">
        <v>131</v>
      </c>
      <c r="E29" t="s">
        <v>139</v>
      </c>
      <c r="F29">
        <v>162</v>
      </c>
      <c r="G29">
        <v>168</v>
      </c>
      <c r="H29">
        <v>41</v>
      </c>
      <c r="I29">
        <v>39</v>
      </c>
      <c r="J29">
        <v>2</v>
      </c>
      <c r="K29">
        <v>16</v>
      </c>
      <c r="L29">
        <v>0</v>
      </c>
      <c r="M29">
        <v>9</v>
      </c>
      <c r="N29">
        <v>9</v>
      </c>
      <c r="O29">
        <v>0</v>
      </c>
      <c r="P29">
        <v>3</v>
      </c>
      <c r="Q29" t="s">
        <v>149</v>
      </c>
      <c r="R29" s="23">
        <f t="shared" si="0"/>
        <v>0.95121951219512191</v>
      </c>
    </row>
    <row r="30" spans="1:18" x14ac:dyDescent="0.3">
      <c r="A30" t="s">
        <v>45</v>
      </c>
      <c r="B30" t="s">
        <v>95</v>
      </c>
      <c r="C30" t="s">
        <v>120</v>
      </c>
      <c r="D30" t="s">
        <v>126</v>
      </c>
      <c r="E30" t="s">
        <v>140</v>
      </c>
      <c r="F30">
        <v>189</v>
      </c>
      <c r="G30">
        <v>168</v>
      </c>
      <c r="H30">
        <v>64</v>
      </c>
      <c r="I30">
        <v>55</v>
      </c>
      <c r="J30">
        <v>21</v>
      </c>
      <c r="K30">
        <v>33</v>
      </c>
      <c r="L30">
        <v>0</v>
      </c>
      <c r="M30">
        <v>4</v>
      </c>
      <c r="N30">
        <v>6</v>
      </c>
      <c r="O30">
        <v>4</v>
      </c>
      <c r="P30">
        <v>16</v>
      </c>
      <c r="Q30" t="s">
        <v>150</v>
      </c>
      <c r="R30" s="23">
        <f t="shared" si="0"/>
        <v>0.859375</v>
      </c>
    </row>
    <row r="31" spans="1:18" x14ac:dyDescent="0.3">
      <c r="A31" t="s">
        <v>46</v>
      </c>
      <c r="B31" t="s">
        <v>96</v>
      </c>
      <c r="C31" t="s">
        <v>121</v>
      </c>
      <c r="D31" t="s">
        <v>127</v>
      </c>
      <c r="E31" t="s">
        <v>141</v>
      </c>
      <c r="F31">
        <v>180</v>
      </c>
      <c r="G31">
        <v>168</v>
      </c>
      <c r="H31">
        <v>55</v>
      </c>
      <c r="I31">
        <v>50</v>
      </c>
      <c r="J31">
        <v>14</v>
      </c>
      <c r="K31">
        <v>27</v>
      </c>
      <c r="L31">
        <v>1</v>
      </c>
      <c r="M31">
        <v>5</v>
      </c>
      <c r="N31">
        <v>7</v>
      </c>
      <c r="O31">
        <v>3</v>
      </c>
      <c r="P31">
        <v>12</v>
      </c>
      <c r="Q31" t="s">
        <v>150</v>
      </c>
      <c r="R31" s="23">
        <f t="shared" si="0"/>
        <v>0.90909090909090906</v>
      </c>
    </row>
    <row r="32" spans="1:18" x14ac:dyDescent="0.3">
      <c r="A32" t="s">
        <v>47</v>
      </c>
      <c r="B32" t="s">
        <v>97</v>
      </c>
      <c r="C32" t="s">
        <v>116</v>
      </c>
      <c r="D32" t="s">
        <v>128</v>
      </c>
      <c r="E32" t="s">
        <v>142</v>
      </c>
      <c r="F32">
        <v>175</v>
      </c>
      <c r="G32">
        <v>168</v>
      </c>
      <c r="H32">
        <v>47</v>
      </c>
      <c r="I32">
        <v>44</v>
      </c>
      <c r="J32">
        <v>7</v>
      </c>
      <c r="K32">
        <v>21</v>
      </c>
      <c r="L32">
        <v>2</v>
      </c>
      <c r="M32">
        <v>7</v>
      </c>
      <c r="N32">
        <v>8</v>
      </c>
      <c r="O32">
        <v>1</v>
      </c>
      <c r="P32">
        <v>7</v>
      </c>
      <c r="Q32" t="s">
        <v>148</v>
      </c>
      <c r="R32" s="23">
        <f t="shared" si="0"/>
        <v>0.93617021276595747</v>
      </c>
    </row>
    <row r="33" spans="1:18" x14ac:dyDescent="0.3">
      <c r="A33" t="s">
        <v>48</v>
      </c>
      <c r="B33" t="s">
        <v>98</v>
      </c>
      <c r="C33" t="s">
        <v>117</v>
      </c>
      <c r="D33" t="s">
        <v>129</v>
      </c>
      <c r="E33" t="s">
        <v>143</v>
      </c>
      <c r="F33">
        <v>193</v>
      </c>
      <c r="G33">
        <v>168</v>
      </c>
      <c r="H33">
        <v>69</v>
      </c>
      <c r="I33">
        <v>57</v>
      </c>
      <c r="J33">
        <v>28</v>
      </c>
      <c r="K33">
        <v>36</v>
      </c>
      <c r="L33">
        <v>0</v>
      </c>
      <c r="M33">
        <v>3</v>
      </c>
      <c r="N33">
        <v>5</v>
      </c>
      <c r="O33">
        <v>7</v>
      </c>
      <c r="P33">
        <v>23</v>
      </c>
      <c r="Q33" t="s">
        <v>148</v>
      </c>
      <c r="R33" s="23">
        <f t="shared" si="0"/>
        <v>0.82608695652173914</v>
      </c>
    </row>
    <row r="34" spans="1:18" x14ac:dyDescent="0.3">
      <c r="A34" t="s">
        <v>49</v>
      </c>
      <c r="B34" t="s">
        <v>99</v>
      </c>
      <c r="C34" t="s">
        <v>118</v>
      </c>
      <c r="D34" t="s">
        <v>135</v>
      </c>
      <c r="E34" t="s">
        <v>144</v>
      </c>
      <c r="F34">
        <v>166</v>
      </c>
      <c r="G34">
        <v>168</v>
      </c>
      <c r="H34">
        <v>42</v>
      </c>
      <c r="I34">
        <v>40</v>
      </c>
      <c r="J34">
        <v>3</v>
      </c>
      <c r="K34">
        <v>17</v>
      </c>
      <c r="L34">
        <v>1</v>
      </c>
      <c r="M34">
        <v>8</v>
      </c>
      <c r="N34">
        <v>9</v>
      </c>
      <c r="O34">
        <v>0</v>
      </c>
      <c r="P34">
        <v>3</v>
      </c>
      <c r="Q34" t="s">
        <v>149</v>
      </c>
      <c r="R34" s="23">
        <f t="shared" ref="R34:R51" si="1">I34/H34</f>
        <v>0.95238095238095233</v>
      </c>
    </row>
    <row r="35" spans="1:18" x14ac:dyDescent="0.3">
      <c r="A35" t="s">
        <v>50</v>
      </c>
      <c r="B35" t="s">
        <v>100</v>
      </c>
      <c r="C35" t="s">
        <v>119</v>
      </c>
      <c r="D35" t="s">
        <v>125</v>
      </c>
      <c r="E35" t="s">
        <v>145</v>
      </c>
      <c r="F35">
        <v>178</v>
      </c>
      <c r="G35">
        <v>168</v>
      </c>
      <c r="H35">
        <v>50</v>
      </c>
      <c r="I35">
        <v>46</v>
      </c>
      <c r="J35">
        <v>10</v>
      </c>
      <c r="K35">
        <v>25</v>
      </c>
      <c r="L35">
        <v>0</v>
      </c>
      <c r="M35">
        <v>6</v>
      </c>
      <c r="N35">
        <v>7</v>
      </c>
      <c r="O35">
        <v>2</v>
      </c>
      <c r="P35">
        <v>9</v>
      </c>
      <c r="Q35" t="s">
        <v>149</v>
      </c>
      <c r="R35" s="23">
        <f t="shared" si="1"/>
        <v>0.92</v>
      </c>
    </row>
    <row r="36" spans="1:18" x14ac:dyDescent="0.3">
      <c r="A36" t="s">
        <v>51</v>
      </c>
      <c r="B36" t="s">
        <v>101</v>
      </c>
      <c r="C36" t="s">
        <v>120</v>
      </c>
      <c r="D36" t="s">
        <v>134</v>
      </c>
      <c r="E36" t="s">
        <v>146</v>
      </c>
      <c r="F36">
        <v>185</v>
      </c>
      <c r="G36">
        <v>168</v>
      </c>
      <c r="H36">
        <v>57</v>
      </c>
      <c r="I36">
        <v>52</v>
      </c>
      <c r="J36">
        <v>18</v>
      </c>
      <c r="K36">
        <v>29</v>
      </c>
      <c r="L36">
        <v>1</v>
      </c>
      <c r="M36">
        <v>5</v>
      </c>
      <c r="N36">
        <v>7</v>
      </c>
      <c r="O36">
        <v>3</v>
      </c>
      <c r="P36">
        <v>15</v>
      </c>
      <c r="Q36" t="s">
        <v>150</v>
      </c>
      <c r="R36" s="23">
        <f t="shared" si="1"/>
        <v>0.91228070175438591</v>
      </c>
    </row>
    <row r="37" spans="1:18" x14ac:dyDescent="0.3">
      <c r="A37" t="s">
        <v>52</v>
      </c>
      <c r="B37" t="s">
        <v>102</v>
      </c>
      <c r="C37" t="s">
        <v>121</v>
      </c>
      <c r="D37" t="s">
        <v>133</v>
      </c>
      <c r="E37" t="s">
        <v>147</v>
      </c>
      <c r="F37">
        <v>172</v>
      </c>
      <c r="G37">
        <v>168</v>
      </c>
      <c r="H37">
        <v>45</v>
      </c>
      <c r="I37">
        <v>42</v>
      </c>
      <c r="J37">
        <v>5</v>
      </c>
      <c r="K37">
        <v>20</v>
      </c>
      <c r="L37">
        <v>2</v>
      </c>
      <c r="M37">
        <v>7</v>
      </c>
      <c r="N37">
        <v>8</v>
      </c>
      <c r="O37">
        <v>1</v>
      </c>
      <c r="P37">
        <v>5</v>
      </c>
      <c r="Q37" t="s">
        <v>150</v>
      </c>
      <c r="R37" s="23">
        <f t="shared" si="1"/>
        <v>0.93333333333333335</v>
      </c>
    </row>
    <row r="38" spans="1:18" x14ac:dyDescent="0.3">
      <c r="A38" t="s">
        <v>53</v>
      </c>
      <c r="B38" t="s">
        <v>103</v>
      </c>
      <c r="C38" t="s">
        <v>116</v>
      </c>
      <c r="D38" t="s">
        <v>122</v>
      </c>
      <c r="E38" t="s">
        <v>136</v>
      </c>
      <c r="F38">
        <v>194</v>
      </c>
      <c r="G38">
        <v>168</v>
      </c>
      <c r="H38">
        <v>71</v>
      </c>
      <c r="I38">
        <v>58</v>
      </c>
      <c r="J38">
        <v>30</v>
      </c>
      <c r="K38">
        <v>38</v>
      </c>
      <c r="L38">
        <v>0</v>
      </c>
      <c r="M38">
        <v>2</v>
      </c>
      <c r="N38">
        <v>5</v>
      </c>
      <c r="O38">
        <v>8</v>
      </c>
      <c r="P38">
        <v>25</v>
      </c>
      <c r="Q38" t="s">
        <v>148</v>
      </c>
      <c r="R38" s="23">
        <f t="shared" si="1"/>
        <v>0.81690140845070425</v>
      </c>
    </row>
    <row r="39" spans="1:18" x14ac:dyDescent="0.3">
      <c r="A39" t="s">
        <v>54</v>
      </c>
      <c r="B39" t="s">
        <v>104</v>
      </c>
      <c r="C39" t="s">
        <v>117</v>
      </c>
      <c r="D39" t="s">
        <v>123</v>
      </c>
      <c r="E39" t="s">
        <v>137</v>
      </c>
      <c r="F39">
        <v>169</v>
      </c>
      <c r="G39">
        <v>168</v>
      </c>
      <c r="H39">
        <v>44</v>
      </c>
      <c r="I39">
        <v>41</v>
      </c>
      <c r="J39">
        <v>4</v>
      </c>
      <c r="K39">
        <v>18</v>
      </c>
      <c r="L39">
        <v>1</v>
      </c>
      <c r="M39">
        <v>8</v>
      </c>
      <c r="N39">
        <v>9</v>
      </c>
      <c r="O39">
        <v>0</v>
      </c>
      <c r="P39">
        <v>4</v>
      </c>
      <c r="Q39" t="s">
        <v>148</v>
      </c>
      <c r="R39" s="23">
        <f t="shared" si="1"/>
        <v>0.93181818181818177</v>
      </c>
    </row>
    <row r="40" spans="1:18" x14ac:dyDescent="0.3">
      <c r="A40" t="s">
        <v>55</v>
      </c>
      <c r="B40" t="s">
        <v>105</v>
      </c>
      <c r="C40" t="s">
        <v>118</v>
      </c>
      <c r="D40" t="s">
        <v>124</v>
      </c>
      <c r="E40" t="s">
        <v>138</v>
      </c>
      <c r="F40">
        <v>181</v>
      </c>
      <c r="G40">
        <v>168</v>
      </c>
      <c r="H40">
        <v>58</v>
      </c>
      <c r="I40">
        <v>53</v>
      </c>
      <c r="J40">
        <v>16</v>
      </c>
      <c r="K40">
        <v>27</v>
      </c>
      <c r="L40">
        <v>0</v>
      </c>
      <c r="M40">
        <v>5</v>
      </c>
      <c r="N40">
        <v>7</v>
      </c>
      <c r="O40">
        <v>3</v>
      </c>
      <c r="P40">
        <v>13</v>
      </c>
      <c r="Q40" t="s">
        <v>149</v>
      </c>
      <c r="R40" s="23">
        <f t="shared" si="1"/>
        <v>0.91379310344827591</v>
      </c>
    </row>
    <row r="41" spans="1:18" x14ac:dyDescent="0.3">
      <c r="A41" t="s">
        <v>56</v>
      </c>
      <c r="B41" t="s">
        <v>106</v>
      </c>
      <c r="C41" t="s">
        <v>119</v>
      </c>
      <c r="D41" t="s">
        <v>125</v>
      </c>
      <c r="E41" t="s">
        <v>139</v>
      </c>
      <c r="F41">
        <v>176</v>
      </c>
      <c r="G41">
        <v>168</v>
      </c>
      <c r="H41">
        <v>52</v>
      </c>
      <c r="I41">
        <v>48</v>
      </c>
      <c r="J41">
        <v>11</v>
      </c>
      <c r="K41">
        <v>24</v>
      </c>
      <c r="L41">
        <v>0</v>
      </c>
      <c r="M41">
        <v>6</v>
      </c>
      <c r="N41">
        <v>8</v>
      </c>
      <c r="O41">
        <v>2</v>
      </c>
      <c r="P41">
        <v>8</v>
      </c>
      <c r="Q41" t="s">
        <v>149</v>
      </c>
      <c r="R41" s="23">
        <f t="shared" si="1"/>
        <v>0.92307692307692313</v>
      </c>
    </row>
    <row r="42" spans="1:18" x14ac:dyDescent="0.3">
      <c r="A42" t="s">
        <v>57</v>
      </c>
      <c r="B42" t="s">
        <v>107</v>
      </c>
      <c r="C42" t="s">
        <v>120</v>
      </c>
      <c r="D42" t="s">
        <v>126</v>
      </c>
      <c r="E42" t="s">
        <v>140</v>
      </c>
      <c r="F42">
        <v>187</v>
      </c>
      <c r="G42">
        <v>168</v>
      </c>
      <c r="H42">
        <v>62</v>
      </c>
      <c r="I42">
        <v>55</v>
      </c>
      <c r="J42">
        <v>19</v>
      </c>
      <c r="K42">
        <v>31</v>
      </c>
      <c r="L42">
        <v>2</v>
      </c>
      <c r="M42">
        <v>4</v>
      </c>
      <c r="N42">
        <v>6</v>
      </c>
      <c r="O42">
        <v>4</v>
      </c>
      <c r="P42">
        <v>18</v>
      </c>
      <c r="Q42" t="s">
        <v>150</v>
      </c>
      <c r="R42" s="23">
        <f t="shared" si="1"/>
        <v>0.88709677419354838</v>
      </c>
    </row>
    <row r="43" spans="1:18" x14ac:dyDescent="0.3">
      <c r="A43" t="s">
        <v>58</v>
      </c>
      <c r="B43" t="s">
        <v>108</v>
      </c>
      <c r="C43" t="s">
        <v>121</v>
      </c>
      <c r="D43" t="s">
        <v>127</v>
      </c>
      <c r="E43" t="s">
        <v>141</v>
      </c>
      <c r="F43">
        <v>163</v>
      </c>
      <c r="G43">
        <v>168</v>
      </c>
      <c r="H43">
        <v>40</v>
      </c>
      <c r="I43">
        <v>38</v>
      </c>
      <c r="J43">
        <v>2</v>
      </c>
      <c r="K43">
        <v>15</v>
      </c>
      <c r="L43">
        <v>1</v>
      </c>
      <c r="M43">
        <v>9</v>
      </c>
      <c r="N43">
        <v>9</v>
      </c>
      <c r="O43">
        <v>0</v>
      </c>
      <c r="P43">
        <v>2</v>
      </c>
      <c r="Q43" t="s">
        <v>150</v>
      </c>
      <c r="R43" s="23">
        <f t="shared" si="1"/>
        <v>0.95</v>
      </c>
    </row>
    <row r="44" spans="1:18" x14ac:dyDescent="0.3">
      <c r="A44" t="s">
        <v>59</v>
      </c>
      <c r="B44" t="s">
        <v>109</v>
      </c>
      <c r="C44" t="s">
        <v>116</v>
      </c>
      <c r="D44" t="s">
        <v>128</v>
      </c>
      <c r="E44" t="s">
        <v>142</v>
      </c>
      <c r="F44">
        <v>179</v>
      </c>
      <c r="G44">
        <v>168</v>
      </c>
      <c r="H44">
        <v>54</v>
      </c>
      <c r="I44">
        <v>49</v>
      </c>
      <c r="J44">
        <v>12</v>
      </c>
      <c r="K44">
        <v>23</v>
      </c>
      <c r="L44">
        <v>0</v>
      </c>
      <c r="M44">
        <v>7</v>
      </c>
      <c r="N44">
        <v>8</v>
      </c>
      <c r="O44">
        <v>2</v>
      </c>
      <c r="P44">
        <v>10</v>
      </c>
      <c r="Q44" t="s">
        <v>148</v>
      </c>
      <c r="R44" s="23">
        <f t="shared" si="1"/>
        <v>0.90740740740740744</v>
      </c>
    </row>
    <row r="45" spans="1:18" x14ac:dyDescent="0.3">
      <c r="A45" t="s">
        <v>60</v>
      </c>
      <c r="B45" t="s">
        <v>110</v>
      </c>
      <c r="C45" t="s">
        <v>117</v>
      </c>
      <c r="D45" t="s">
        <v>129</v>
      </c>
      <c r="E45" t="s">
        <v>143</v>
      </c>
      <c r="F45">
        <v>191</v>
      </c>
      <c r="G45">
        <v>168</v>
      </c>
      <c r="H45">
        <v>66</v>
      </c>
      <c r="I45">
        <v>57</v>
      </c>
      <c r="J45">
        <v>24</v>
      </c>
      <c r="K45">
        <v>32</v>
      </c>
      <c r="L45">
        <v>0</v>
      </c>
      <c r="M45">
        <v>5</v>
      </c>
      <c r="N45">
        <v>7</v>
      </c>
      <c r="O45">
        <v>5</v>
      </c>
      <c r="P45">
        <v>21</v>
      </c>
      <c r="Q45" t="s">
        <v>148</v>
      </c>
      <c r="R45" s="23">
        <f t="shared" si="1"/>
        <v>0.86363636363636365</v>
      </c>
    </row>
    <row r="46" spans="1:18" x14ac:dyDescent="0.3">
      <c r="A46" t="s">
        <v>61</v>
      </c>
      <c r="B46" t="s">
        <v>111</v>
      </c>
      <c r="C46" t="s">
        <v>118</v>
      </c>
      <c r="D46" t="s">
        <v>130</v>
      </c>
      <c r="E46" t="s">
        <v>144</v>
      </c>
      <c r="F46">
        <v>174</v>
      </c>
      <c r="G46">
        <v>168</v>
      </c>
      <c r="H46">
        <v>49</v>
      </c>
      <c r="I46">
        <v>46</v>
      </c>
      <c r="J46">
        <v>6</v>
      </c>
      <c r="K46">
        <v>21</v>
      </c>
      <c r="L46">
        <v>1</v>
      </c>
      <c r="M46">
        <v>8</v>
      </c>
      <c r="N46">
        <v>9</v>
      </c>
      <c r="O46">
        <v>1</v>
      </c>
      <c r="P46">
        <v>6</v>
      </c>
      <c r="Q46" t="s">
        <v>149</v>
      </c>
      <c r="R46" s="23">
        <f t="shared" si="1"/>
        <v>0.93877551020408168</v>
      </c>
    </row>
    <row r="47" spans="1:18" x14ac:dyDescent="0.3">
      <c r="A47" t="s">
        <v>62</v>
      </c>
      <c r="B47" t="s">
        <v>112</v>
      </c>
      <c r="C47" t="s">
        <v>119</v>
      </c>
      <c r="D47" t="s">
        <v>131</v>
      </c>
      <c r="E47" t="s">
        <v>145</v>
      </c>
      <c r="F47">
        <v>186</v>
      </c>
      <c r="G47">
        <v>168</v>
      </c>
      <c r="H47">
        <v>60</v>
      </c>
      <c r="I47">
        <v>53</v>
      </c>
      <c r="J47">
        <v>20</v>
      </c>
      <c r="K47">
        <v>30</v>
      </c>
      <c r="L47">
        <v>0</v>
      </c>
      <c r="M47">
        <v>4</v>
      </c>
      <c r="N47">
        <v>6</v>
      </c>
      <c r="O47">
        <v>4</v>
      </c>
      <c r="P47">
        <v>17</v>
      </c>
      <c r="Q47" t="s">
        <v>149</v>
      </c>
      <c r="R47" s="23">
        <f t="shared" si="1"/>
        <v>0.8833333333333333</v>
      </c>
    </row>
    <row r="48" spans="1:18" x14ac:dyDescent="0.3">
      <c r="A48" t="s">
        <v>63</v>
      </c>
      <c r="B48" t="s">
        <v>113</v>
      </c>
      <c r="C48" t="s">
        <v>120</v>
      </c>
      <c r="D48" t="s">
        <v>132</v>
      </c>
      <c r="E48" t="s">
        <v>146</v>
      </c>
      <c r="F48">
        <v>170</v>
      </c>
      <c r="G48">
        <v>168</v>
      </c>
      <c r="H48">
        <v>46</v>
      </c>
      <c r="I48">
        <v>44</v>
      </c>
      <c r="J48">
        <v>5</v>
      </c>
      <c r="K48">
        <v>19</v>
      </c>
      <c r="L48">
        <v>2</v>
      </c>
      <c r="M48">
        <v>7</v>
      </c>
      <c r="N48">
        <v>8</v>
      </c>
      <c r="O48">
        <v>1</v>
      </c>
      <c r="P48">
        <v>5</v>
      </c>
      <c r="Q48" t="s">
        <v>150</v>
      </c>
      <c r="R48" s="23">
        <f t="shared" si="1"/>
        <v>0.95652173913043481</v>
      </c>
    </row>
    <row r="49" spans="1:18" x14ac:dyDescent="0.3">
      <c r="A49" t="s">
        <v>64</v>
      </c>
      <c r="B49" t="s">
        <v>114</v>
      </c>
      <c r="C49" t="s">
        <v>121</v>
      </c>
      <c r="D49" t="s">
        <v>133</v>
      </c>
      <c r="E49" t="s">
        <v>147</v>
      </c>
      <c r="F49">
        <v>182</v>
      </c>
      <c r="G49">
        <v>168</v>
      </c>
      <c r="H49">
        <v>57</v>
      </c>
      <c r="I49">
        <v>50</v>
      </c>
      <c r="J49">
        <v>15</v>
      </c>
      <c r="K49">
        <v>26</v>
      </c>
      <c r="L49">
        <v>0</v>
      </c>
      <c r="M49">
        <v>5</v>
      </c>
      <c r="N49">
        <v>7</v>
      </c>
      <c r="O49">
        <v>3</v>
      </c>
      <c r="P49">
        <v>12</v>
      </c>
      <c r="Q49" t="s">
        <v>150</v>
      </c>
      <c r="R49" s="23">
        <f t="shared" si="1"/>
        <v>0.8771929824561403</v>
      </c>
    </row>
    <row r="50" spans="1:18" x14ac:dyDescent="0.3">
      <c r="A50" t="s">
        <v>65</v>
      </c>
      <c r="B50" t="s">
        <v>115</v>
      </c>
      <c r="C50" t="s">
        <v>116</v>
      </c>
      <c r="D50" t="s">
        <v>134</v>
      </c>
      <c r="E50" t="s">
        <v>136</v>
      </c>
      <c r="F50">
        <v>177</v>
      </c>
      <c r="G50">
        <v>168</v>
      </c>
      <c r="H50">
        <v>53</v>
      </c>
      <c r="I50">
        <v>47</v>
      </c>
      <c r="J50">
        <v>9</v>
      </c>
      <c r="K50">
        <v>22</v>
      </c>
      <c r="L50">
        <v>1</v>
      </c>
      <c r="M50">
        <v>6</v>
      </c>
      <c r="N50">
        <v>8</v>
      </c>
      <c r="O50">
        <v>2</v>
      </c>
      <c r="P50">
        <v>8</v>
      </c>
      <c r="Q50" t="s">
        <v>148</v>
      </c>
      <c r="R50" s="23">
        <f t="shared" si="1"/>
        <v>0.8867924528301887</v>
      </c>
    </row>
    <row r="51" spans="1:18" x14ac:dyDescent="0.3">
      <c r="L51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ECE01-A1C5-4ACC-880F-63C4B5C939AE}">
  <dimension ref="A1:O50"/>
  <sheetViews>
    <sheetView topLeftCell="D47" zoomScale="81" workbookViewId="0">
      <selection activeCell="O51" sqref="O51"/>
    </sheetView>
  </sheetViews>
  <sheetFormatPr defaultRowHeight="14.4" x14ac:dyDescent="0.3"/>
  <cols>
    <col min="1" max="1" width="14" customWidth="1"/>
    <col min="2" max="2" width="17.21875" customWidth="1"/>
    <col min="3" max="3" width="13" customWidth="1"/>
    <col min="4" max="4" width="8.6640625" customWidth="1"/>
    <col min="5" max="6" width="20.5546875" customWidth="1"/>
    <col min="7" max="7" width="15.44140625" customWidth="1"/>
    <col min="8" max="8" width="17.44140625" customWidth="1"/>
    <col min="9" max="9" width="18.109375" customWidth="1"/>
    <col min="10" max="10" width="17.44140625" bestFit="1" customWidth="1"/>
    <col min="11" max="11" width="17.33203125" customWidth="1"/>
    <col min="12" max="12" width="21.109375" customWidth="1"/>
    <col min="13" max="13" width="11.5546875" customWidth="1"/>
    <col min="14" max="14" width="19.77734375" customWidth="1"/>
    <col min="15" max="15" width="20.33203125" bestFit="1" customWidth="1"/>
    <col min="16" max="22" width="10.44140625" customWidth="1"/>
    <col min="23" max="112" width="11.44140625" customWidth="1"/>
    <col min="113" max="1012" width="12.44140625" customWidth="1"/>
    <col min="1013" max="10012" width="13.44140625" customWidth="1"/>
    <col min="10013" max="16384" width="14.4414062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4</v>
      </c>
      <c r="E1" t="s">
        <v>159</v>
      </c>
      <c r="F1" t="s">
        <v>160</v>
      </c>
      <c r="G1" t="s">
        <v>151</v>
      </c>
      <c r="H1" t="s">
        <v>152</v>
      </c>
      <c r="I1" t="s">
        <v>154</v>
      </c>
      <c r="J1" t="s">
        <v>153</v>
      </c>
      <c r="K1" t="s">
        <v>161</v>
      </c>
      <c r="L1" t="s">
        <v>155</v>
      </c>
      <c r="M1" t="s">
        <v>156</v>
      </c>
      <c r="N1" t="s">
        <v>157</v>
      </c>
      <c r="O1" t="s">
        <v>158</v>
      </c>
    </row>
    <row r="2" spans="1:15" x14ac:dyDescent="0.3">
      <c r="A2" t="str">
        <f>Raw_Data!A2</f>
        <v>E001</v>
      </c>
      <c r="B2" t="str">
        <f>Raw_Data!B2</f>
        <v>Aarav Sharma</v>
      </c>
      <c r="C2" t="str">
        <f>Raw_Data!C2</f>
        <v>IT</v>
      </c>
      <c r="D2" t="str">
        <f>Raw_Data!E2</f>
        <v>Jan</v>
      </c>
      <c r="E2">
        <f>Raw_Data!F2/Raw_Data!G2</f>
        <v>1</v>
      </c>
      <c r="F2">
        <f>IFERROR(Raw_Data!I2/Raw_Data!H2,0)</f>
        <v>0.95238095238095233</v>
      </c>
      <c r="G2">
        <f>IFERROR(Raw_Data!J2/Raw_Data!F2,0)</f>
        <v>2.3809523809523808E-2</v>
      </c>
      <c r="H2">
        <f>IFERROR(Raw_Data!K2/Raw_Data!F2,0)</f>
        <v>0.10714285714285714</v>
      </c>
      <c r="I2" t="str">
        <f>IF(Raw_Data!N2&lt;3,"High",IF(Raw_Data!N2&lt;4,"Medium","Low"))</f>
        <v>Low</v>
      </c>
      <c r="J2" t="str">
        <f>IF(Raw_Data!M2&lt;3,"High",IF(Raw_Data!M2&lt;4,"Medium","Low"))</f>
        <v>Low</v>
      </c>
      <c r="K2" t="str">
        <f>IF(Raw_Data!O2&gt;=3,"High",IF(Raw_Data!O2&gt;=1,"Medium","Low"))</f>
        <v>Medium</v>
      </c>
      <c r="L2" t="str">
        <f>IF(Raw_Data!P2&gt;=10,"High",IF(Raw_Data!P2&gt;=5,"Medium","Low"))</f>
        <v>Medium</v>
      </c>
      <c r="M2">
        <f>(E2*0.2)+(F2*0.2)+(G2*0.2)+(H2*0.2)+((I2="High")*0.2)</f>
        <v>0.41666666666666663</v>
      </c>
      <c r="N2" t="str">
        <f>IF(M2&gt;=0.7,"High",IF(M2&gt;=0.4,"Medium","Low"))</f>
        <v>Medium</v>
      </c>
      <c r="O2" t="str" cm="1">
        <f t="array" ref="O2">IF(COUNTIF(I2:L2,"High")&gt;0,INDEX({"Performance","Satisfaction","Deadline","After-Hours"},MATCH("High",I2:L2,0)),IF(COUNTIF(I2:L2,"Medium")&gt;0,INDEX({"Performance","Satisfaction","Deadline","After-Hours"},MATCH("Medium",I2:L2,0)),"None"))</f>
        <v>Deadline</v>
      </c>
    </row>
    <row r="3" spans="1:15" x14ac:dyDescent="0.3">
      <c r="A3" t="str">
        <f>Raw_Data!A3</f>
        <v>E002</v>
      </c>
      <c r="B3" t="str">
        <f>Raw_Data!B3</f>
        <v>Priya Mehta</v>
      </c>
      <c r="C3" t="str">
        <f>Raw_Data!C3</f>
        <v>Finance</v>
      </c>
      <c r="D3" t="str">
        <f>Raw_Data!E3</f>
        <v>Feb</v>
      </c>
      <c r="E3">
        <f>Raw_Data!F3/Raw_Data!G3</f>
        <v>1.0476190476190477</v>
      </c>
      <c r="F3">
        <f>IFERROR(Raw_Data!I3/Raw_Data!H3,0)</f>
        <v>0.9375</v>
      </c>
      <c r="G3">
        <f>IFERROR(Raw_Data!J3/Raw_Data!F3,0)</f>
        <v>4.5454545454545456E-2</v>
      </c>
      <c r="H3">
        <f>IFERROR(Raw_Data!K3/Raw_Data!F3,0)</f>
        <v>0.125</v>
      </c>
      <c r="I3" t="str">
        <f>IF(Raw_Data!N3&lt;3,"High",IF(Raw_Data!N3&lt;4,"Medium","Low"))</f>
        <v>Low</v>
      </c>
      <c r="J3" t="str">
        <f>IF(Raw_Data!M3&lt;3,"High",IF(Raw_Data!M3&lt;4,"Medium","Low"))</f>
        <v>Low</v>
      </c>
      <c r="K3" t="str">
        <f>IF(Raw_Data!O3&gt;=3,"High",IF(Raw_Data!O3&gt;=1,"Medium","Low"))</f>
        <v>Medium</v>
      </c>
      <c r="L3" t="str">
        <f>IF(Raw_Data!P3&gt;=10,"High",IF(Raw_Data!P3&gt;=5,"Medium","Low"))</f>
        <v>Medium</v>
      </c>
      <c r="M3">
        <f t="shared" ref="M3:M50" si="0">(E3*0.2)+(F3*0.2)+(G3*0.2)+(H3*0.2)+((I3="High")*0.2)</f>
        <v>0.43111471861471867</v>
      </c>
      <c r="N3" t="str">
        <f t="shared" ref="N3:N50" si="1">IF(M3&gt;=0.7,"High",IF(M3&gt;=0.4,"Medium","Low"))</f>
        <v>Medium</v>
      </c>
      <c r="O3" t="str" cm="1">
        <f t="array" ref="O3">IF(COUNTIF(I3:L3,"High")&gt;0,INDEX({"Performance","Satisfaction","Deadline","After-Hours"},MATCH("High",I3:L3,0)),IF(COUNTIF(I3:L3,"Medium")&gt;0,INDEX({"Performance","Satisfaction","Deadline","After-Hours"},MATCH("Medium",I3:L3,0)),"None"))</f>
        <v>Deadline</v>
      </c>
    </row>
    <row r="4" spans="1:15" x14ac:dyDescent="0.3">
      <c r="A4" t="str">
        <f>Raw_Data!A4</f>
        <v>E003</v>
      </c>
      <c r="B4" t="str">
        <f>Raw_Data!B4</f>
        <v>Rahul Verma</v>
      </c>
      <c r="C4" t="str">
        <f>Raw_Data!C4</f>
        <v>Marketing</v>
      </c>
      <c r="D4" t="str">
        <f>Raw_Data!E4</f>
        <v>Mar</v>
      </c>
      <c r="E4">
        <f>Raw_Data!F4/Raw_Data!G4</f>
        <v>1.0833333333333333</v>
      </c>
      <c r="F4">
        <f>IFERROR(Raw_Data!I4/Raw_Data!H4,0)</f>
        <v>0.87272727272727268</v>
      </c>
      <c r="G4">
        <f>IFERROR(Raw_Data!J4/Raw_Data!F4,0)</f>
        <v>8.7912087912087919E-2</v>
      </c>
      <c r="H4">
        <f>IFERROR(Raw_Data!K4/Raw_Data!F4,0)</f>
        <v>0.14835164835164835</v>
      </c>
      <c r="I4" t="str">
        <f>IF(Raw_Data!N4&lt;3,"High",IF(Raw_Data!N4&lt;4,"Medium","Low"))</f>
        <v>Low</v>
      </c>
      <c r="J4" t="str">
        <f>IF(Raw_Data!M4&lt;3,"High",IF(Raw_Data!M4&lt;4,"Medium","Low"))</f>
        <v>Low</v>
      </c>
      <c r="K4" t="str">
        <f>IF(Raw_Data!O4&gt;=3,"High",IF(Raw_Data!O4&gt;=1,"Medium","Low"))</f>
        <v>High</v>
      </c>
      <c r="L4" t="str">
        <f>IF(Raw_Data!P4&gt;=10,"High",IF(Raw_Data!P4&gt;=5,"Medium","Low"))</f>
        <v>High</v>
      </c>
      <c r="M4">
        <f t="shared" si="0"/>
        <v>0.43846486846486848</v>
      </c>
      <c r="N4" t="str">
        <f t="shared" si="1"/>
        <v>Medium</v>
      </c>
      <c r="O4" t="str" cm="1">
        <f t="array" ref="O4">IF(COUNTIF(I4:L4,"High")&gt;0,INDEX({"Performance","Satisfaction","Deadline","After-Hours"},MATCH("High",I4:L4,0)),IF(COUNTIF(I4:L4,"Medium")&gt;0,INDEX({"Performance","Satisfaction","Deadline","After-Hours"},MATCH("Medium",I4:L4,0)),"None"))</f>
        <v>Deadline</v>
      </c>
    </row>
    <row r="5" spans="1:15" x14ac:dyDescent="0.3">
      <c r="A5" t="str">
        <f>Raw_Data!A5</f>
        <v>E004</v>
      </c>
      <c r="B5" t="str">
        <f>Raw_Data!B5</f>
        <v>Neha Kapoor</v>
      </c>
      <c r="C5" t="str">
        <f>Raw_Data!C5</f>
        <v>Human Resources</v>
      </c>
      <c r="D5" t="str">
        <f>Raw_Data!E5</f>
        <v>Apr</v>
      </c>
      <c r="E5">
        <f>Raw_Data!F5/Raw_Data!G5</f>
        <v>0.95238095238095233</v>
      </c>
      <c r="F5">
        <f>IFERROR(Raw_Data!I5/Raw_Data!H5,0)</f>
        <v>0.94736842105263153</v>
      </c>
      <c r="G5">
        <f>IFERROR(Raw_Data!J5/Raw_Data!F5,0)</f>
        <v>1.2500000000000001E-2</v>
      </c>
      <c r="H5">
        <f>IFERROR(Raw_Data!K5/Raw_Data!F5,0)</f>
        <v>9.375E-2</v>
      </c>
      <c r="I5" t="str">
        <f>IF(Raw_Data!N5&lt;3,"High",IF(Raw_Data!N5&lt;4,"Medium","Low"))</f>
        <v>Low</v>
      </c>
      <c r="J5" t="str">
        <f>IF(Raw_Data!M5&lt;3,"High",IF(Raw_Data!M5&lt;4,"Medium","Low"))</f>
        <v>Low</v>
      </c>
      <c r="K5" t="str">
        <f>IF(Raw_Data!O5&gt;=3,"High",IF(Raw_Data!O5&gt;=1,"Medium","Low"))</f>
        <v>Low</v>
      </c>
      <c r="L5" t="str">
        <f>IF(Raw_Data!P5&gt;=10,"High",IF(Raw_Data!P5&gt;=5,"Medium","Low"))</f>
        <v>Low</v>
      </c>
      <c r="M5">
        <f t="shared" si="0"/>
        <v>0.40119987468671681</v>
      </c>
      <c r="N5" t="str">
        <f t="shared" si="1"/>
        <v>Medium</v>
      </c>
      <c r="O5" t="str" cm="1">
        <f t="array" ref="O5">IF(COUNTIF(I5:L5,"High")&gt;0,INDEX({"Performance","Satisfaction","Deadline","After-Hours"},MATCH("High",I5:L5,0)),IF(COUNTIF(I5:L5,"Medium")&gt;0,INDEX({"Performance","Satisfaction","Deadline","After-Hours"},MATCH("Medium",I5:L5,0)),"None"))</f>
        <v>None</v>
      </c>
    </row>
    <row r="6" spans="1:15" x14ac:dyDescent="0.3">
      <c r="A6" t="str">
        <f>Raw_Data!A6</f>
        <v>E005</v>
      </c>
      <c r="B6" t="str">
        <f>Raw_Data!B6</f>
        <v>Arjun Malhotra</v>
      </c>
      <c r="C6" t="str">
        <f>Raw_Data!C6</f>
        <v>Operations</v>
      </c>
      <c r="D6" t="str">
        <f>Raw_Data!E6</f>
        <v>May</v>
      </c>
      <c r="E6">
        <f>Raw_Data!F6/Raw_Data!G6</f>
        <v>1.0178571428571428</v>
      </c>
      <c r="F6">
        <f>IFERROR(Raw_Data!I6/Raw_Data!H6,0)</f>
        <v>0.9555555555555556</v>
      </c>
      <c r="G6">
        <f>IFERROR(Raw_Data!J6/Raw_Data!F6,0)</f>
        <v>3.5087719298245612E-2</v>
      </c>
      <c r="H6">
        <f>IFERROR(Raw_Data!K6/Raw_Data!F6,0)</f>
        <v>0.11695906432748537</v>
      </c>
      <c r="I6" t="str">
        <f>IF(Raw_Data!N6&lt;3,"High",IF(Raw_Data!N6&lt;4,"Medium","Low"))</f>
        <v>Low</v>
      </c>
      <c r="J6" t="str">
        <f>IF(Raw_Data!M6&lt;3,"High",IF(Raw_Data!M6&lt;4,"Medium","Low"))</f>
        <v>Low</v>
      </c>
      <c r="K6" t="str">
        <f>IF(Raw_Data!O6&gt;=3,"High",IF(Raw_Data!O6&gt;=1,"Medium","Low"))</f>
        <v>Medium</v>
      </c>
      <c r="L6" t="str">
        <f>IF(Raw_Data!P6&gt;=10,"High",IF(Raw_Data!P6&gt;=5,"Medium","Low"))</f>
        <v>Medium</v>
      </c>
      <c r="M6">
        <f t="shared" si="0"/>
        <v>0.42509189640768591</v>
      </c>
      <c r="N6" t="str">
        <f t="shared" si="1"/>
        <v>Medium</v>
      </c>
      <c r="O6" t="str" cm="1">
        <f t="array" ref="O6">IF(COUNTIF(I6:L6,"High")&gt;0,INDEX({"Performance","Satisfaction","Deadline","After-Hours"},MATCH("High",I6:L6,0)),IF(COUNTIF(I6:L6,"Medium")&gt;0,INDEX({"Performance","Satisfaction","Deadline","After-Hours"},MATCH("Medium",I6:L6,0)),"None"))</f>
        <v>Deadline</v>
      </c>
    </row>
    <row r="7" spans="1:15" x14ac:dyDescent="0.3">
      <c r="A7" t="str">
        <f>Raw_Data!A7</f>
        <v>E006</v>
      </c>
      <c r="B7" t="str">
        <f>Raw_Data!B7</f>
        <v>Simran Kaur</v>
      </c>
      <c r="C7" t="str">
        <f>Raw_Data!C7</f>
        <v>Sales</v>
      </c>
      <c r="D7" t="str">
        <f>Raw_Data!E7</f>
        <v>Jun</v>
      </c>
      <c r="E7">
        <f>Raw_Data!F7/Raw_Data!G7</f>
        <v>1.1011904761904763</v>
      </c>
      <c r="F7">
        <f>IFERROR(Raw_Data!I7/Raw_Data!H7,0)</f>
        <v>0.87931034482758619</v>
      </c>
      <c r="G7">
        <f>IFERROR(Raw_Data!J7/Raw_Data!F7,0)</f>
        <v>9.7297297297297303E-2</v>
      </c>
      <c r="H7">
        <f>IFERROR(Raw_Data!K7/Raw_Data!F7,0)</f>
        <v>0.16216216216216217</v>
      </c>
      <c r="I7" t="str">
        <f>IF(Raw_Data!N7&lt;3,"High",IF(Raw_Data!N7&lt;4,"Medium","Low"))</f>
        <v>Low</v>
      </c>
      <c r="J7" t="str">
        <f>IF(Raw_Data!M7&lt;3,"High",IF(Raw_Data!M7&lt;4,"Medium","Low"))</f>
        <v>Low</v>
      </c>
      <c r="K7" t="str">
        <f>IF(Raw_Data!O7&gt;=3,"High",IF(Raw_Data!O7&gt;=1,"Medium","Low"))</f>
        <v>High</v>
      </c>
      <c r="L7" t="str">
        <f>IF(Raw_Data!P7&gt;=10,"High",IF(Raw_Data!P7&gt;=5,"Medium","Low"))</f>
        <v>High</v>
      </c>
      <c r="M7">
        <f t="shared" si="0"/>
        <v>0.44799205609550441</v>
      </c>
      <c r="N7" t="str">
        <f t="shared" si="1"/>
        <v>Medium</v>
      </c>
      <c r="O7" t="str" cm="1">
        <f t="array" ref="O7">IF(COUNTIF(I7:L7,"High")&gt;0,INDEX({"Performance","Satisfaction","Deadline","After-Hours"},MATCH("High",I7:L7,0)),IF(COUNTIF(I7:L7,"Medium")&gt;0,INDEX({"Performance","Satisfaction","Deadline","After-Hours"},MATCH("Medium",I7:L7,0)),"None"))</f>
        <v>Deadline</v>
      </c>
    </row>
    <row r="8" spans="1:15" x14ac:dyDescent="0.3">
      <c r="A8" t="str">
        <f>Raw_Data!A8</f>
        <v>E007</v>
      </c>
      <c r="B8" t="str">
        <f>Raw_Data!B8</f>
        <v>Rohan Gupta</v>
      </c>
      <c r="C8" t="str">
        <f>Raw_Data!C8</f>
        <v>IT</v>
      </c>
      <c r="D8" t="str">
        <f>Raw_Data!E8</f>
        <v>Jul</v>
      </c>
      <c r="E8">
        <f>Raw_Data!F8/Raw_Data!G8</f>
        <v>1.0238095238095237</v>
      </c>
      <c r="F8">
        <f>IFERROR(Raw_Data!I8/Raw_Data!H8,0)</f>
        <v>0.93617021276595747</v>
      </c>
      <c r="G8">
        <f>IFERROR(Raw_Data!J8/Raw_Data!F8,0)</f>
        <v>2.9069767441860465E-2</v>
      </c>
      <c r="H8">
        <f>IFERROR(Raw_Data!K8/Raw_Data!F8,0)</f>
        <v>0.11046511627906977</v>
      </c>
      <c r="I8" t="str">
        <f>IF(Raw_Data!N8&lt;3,"High",IF(Raw_Data!N8&lt;4,"Medium","Low"))</f>
        <v>Low</v>
      </c>
      <c r="J8" t="str">
        <f>IF(Raw_Data!M8&lt;3,"High",IF(Raw_Data!M8&lt;4,"Medium","Low"))</f>
        <v>Low</v>
      </c>
      <c r="K8" t="str">
        <f>IF(Raw_Data!O8&gt;=3,"High",IF(Raw_Data!O8&gt;=1,"Medium","Low"))</f>
        <v>Medium</v>
      </c>
      <c r="L8" t="str">
        <f>IF(Raw_Data!P8&gt;=10,"High",IF(Raw_Data!P8&gt;=5,"Medium","Low"))</f>
        <v>Medium</v>
      </c>
      <c r="M8">
        <f t="shared" si="0"/>
        <v>0.41990292405928231</v>
      </c>
      <c r="N8" t="str">
        <f t="shared" si="1"/>
        <v>Medium</v>
      </c>
      <c r="O8" t="str" cm="1">
        <f t="array" ref="O8">IF(COUNTIF(I8:L8,"High")&gt;0,INDEX({"Performance","Satisfaction","Deadline","After-Hours"},MATCH("High",I8:L8,0)),IF(COUNTIF(I8:L8,"Medium")&gt;0,INDEX({"Performance","Satisfaction","Deadline","After-Hours"},MATCH("Medium",I8:L8,0)),"None"))</f>
        <v>Deadline</v>
      </c>
    </row>
    <row r="9" spans="1:15" x14ac:dyDescent="0.3">
      <c r="A9" t="str">
        <f>Raw_Data!A9</f>
        <v>E008</v>
      </c>
      <c r="B9" t="str">
        <f>Raw_Data!B9</f>
        <v>Ananya Singh</v>
      </c>
      <c r="C9" t="str">
        <f>Raw_Data!C9</f>
        <v>Finance</v>
      </c>
      <c r="D9" t="str">
        <f>Raw_Data!E9</f>
        <v>Aug</v>
      </c>
      <c r="E9">
        <f>Raw_Data!F9/Raw_Data!G9</f>
        <v>1.0595238095238095</v>
      </c>
      <c r="F9">
        <f>IFERROR(Raw_Data!I9/Raw_Data!H9,0)</f>
        <v>0.92156862745098034</v>
      </c>
      <c r="G9">
        <f>IFERROR(Raw_Data!J9/Raw_Data!F9,0)</f>
        <v>5.6179775280898875E-2</v>
      </c>
      <c r="H9">
        <f>IFERROR(Raw_Data!K9/Raw_Data!F9,0)</f>
        <v>0.1348314606741573</v>
      </c>
      <c r="I9" t="str">
        <f>IF(Raw_Data!N9&lt;3,"High",IF(Raw_Data!N9&lt;4,"Medium","Low"))</f>
        <v>Low</v>
      </c>
      <c r="J9" t="str">
        <f>IF(Raw_Data!M9&lt;3,"High",IF(Raw_Data!M9&lt;4,"Medium","Low"))</f>
        <v>Low</v>
      </c>
      <c r="K9" t="str">
        <f>IF(Raw_Data!O9&gt;=3,"High",IF(Raw_Data!O9&gt;=1,"Medium","Low"))</f>
        <v>Medium</v>
      </c>
      <c r="L9" t="str">
        <f>IF(Raw_Data!P9&gt;=10,"High",IF(Raw_Data!P9&gt;=5,"Medium","Low"))</f>
        <v>Medium</v>
      </c>
      <c r="M9">
        <f t="shared" si="0"/>
        <v>0.4344207345859693</v>
      </c>
      <c r="N9" t="str">
        <f t="shared" si="1"/>
        <v>Medium</v>
      </c>
      <c r="O9" t="str" cm="1">
        <f t="array" ref="O9">IF(COUNTIF(I9:L9,"High")&gt;0,INDEX({"Performance","Satisfaction","Deadline","After-Hours"},MATCH("High",I9:L9,0)),IF(COUNTIF(I9:L9,"Medium")&gt;0,INDEX({"Performance","Satisfaction","Deadline","After-Hours"},MATCH("Medium",I9:L9,0)),"None"))</f>
        <v>Deadline</v>
      </c>
    </row>
    <row r="10" spans="1:15" x14ac:dyDescent="0.3">
      <c r="A10" t="str">
        <f>Raw_Data!A10</f>
        <v>E009</v>
      </c>
      <c r="B10" t="str">
        <f>Raw_Data!B10</f>
        <v>Vivek Sharma</v>
      </c>
      <c r="C10" t="str">
        <f>Raw_Data!C10</f>
        <v>Marketing</v>
      </c>
      <c r="D10" t="str">
        <f>Raw_Data!E10</f>
        <v>Sep</v>
      </c>
      <c r="E10">
        <f>Raw_Data!F10/Raw_Data!G10</f>
        <v>1.1309523809523809</v>
      </c>
      <c r="F10">
        <f>IFERROR(Raw_Data!I10/Raw_Data!H10,0)</f>
        <v>0.82539682539682535</v>
      </c>
      <c r="G10">
        <f>IFERROR(Raw_Data!J10/Raw_Data!F10,0)</f>
        <v>0.12631578947368421</v>
      </c>
      <c r="H10">
        <f>IFERROR(Raw_Data!K10/Raw_Data!F10,0)</f>
        <v>0.16315789473684211</v>
      </c>
      <c r="I10" t="str">
        <f>IF(Raw_Data!N10&lt;3,"High",IF(Raw_Data!N10&lt;4,"Medium","Low"))</f>
        <v>Low</v>
      </c>
      <c r="J10" t="str">
        <f>IF(Raw_Data!M10&lt;3,"High",IF(Raw_Data!M10&lt;4,"Medium","Low"))</f>
        <v>Low</v>
      </c>
      <c r="K10" t="str">
        <f>IF(Raw_Data!O10&gt;=3,"High",IF(Raw_Data!O10&gt;=1,"Medium","Low"))</f>
        <v>High</v>
      </c>
      <c r="L10" t="str">
        <f>IF(Raw_Data!P10&gt;=10,"High",IF(Raw_Data!P10&gt;=5,"Medium","Low"))</f>
        <v>High</v>
      </c>
      <c r="M10">
        <f t="shared" si="0"/>
        <v>0.44916457811194649</v>
      </c>
      <c r="N10" t="str">
        <f t="shared" si="1"/>
        <v>Medium</v>
      </c>
      <c r="O10" t="str" cm="1">
        <f t="array" ref="O10">IF(COUNTIF(I10:L10,"High")&gt;0,INDEX({"Performance","Satisfaction","Deadline","After-Hours"},MATCH("High",I10:L10,0)),IF(COUNTIF(I10:L10,"Medium")&gt;0,INDEX({"Performance","Satisfaction","Deadline","After-Hours"},MATCH("Medium",I10:L10,0)),"None"))</f>
        <v>Deadline</v>
      </c>
    </row>
    <row r="11" spans="1:15" x14ac:dyDescent="0.3">
      <c r="A11" t="str">
        <f>Raw_Data!A11</f>
        <v>E010</v>
      </c>
      <c r="B11" t="str">
        <f>Raw_Data!B11</f>
        <v>Ishita Patel</v>
      </c>
      <c r="C11" t="str">
        <f>Raw_Data!C11</f>
        <v>Human Resources</v>
      </c>
      <c r="D11" t="str">
        <f>Raw_Data!E11</f>
        <v>Oct</v>
      </c>
      <c r="E11">
        <f>Raw_Data!F11/Raw_Data!G11</f>
        <v>0.9821428571428571</v>
      </c>
      <c r="F11">
        <f>IFERROR(Raw_Data!I11/Raw_Data!H11,0)</f>
        <v>0.95</v>
      </c>
      <c r="G11">
        <f>IFERROR(Raw_Data!J11/Raw_Data!F11,0)</f>
        <v>1.8181818181818181E-2</v>
      </c>
      <c r="H11">
        <f>IFERROR(Raw_Data!K11/Raw_Data!F11,0)</f>
        <v>0.10303030303030303</v>
      </c>
      <c r="I11" t="str">
        <f>IF(Raw_Data!N11&lt;3,"High",IF(Raw_Data!N11&lt;4,"Medium","Low"))</f>
        <v>Low</v>
      </c>
      <c r="J11" t="str">
        <f>IF(Raw_Data!M11&lt;3,"High",IF(Raw_Data!M11&lt;4,"Medium","Low"))</f>
        <v>Low</v>
      </c>
      <c r="K11" t="str">
        <f>IF(Raw_Data!O11&gt;=3,"High",IF(Raw_Data!O11&gt;=1,"Medium","Low"))</f>
        <v>Low</v>
      </c>
      <c r="L11" t="str">
        <f>IF(Raw_Data!P11&gt;=10,"High",IF(Raw_Data!P11&gt;=5,"Medium","Low"))</f>
        <v>Low</v>
      </c>
      <c r="M11">
        <f t="shared" si="0"/>
        <v>0.41067099567099574</v>
      </c>
      <c r="N11" t="str">
        <f t="shared" si="1"/>
        <v>Medium</v>
      </c>
      <c r="O11" t="str" cm="1">
        <f t="array" ref="O11">IF(COUNTIF(I11:L11,"High")&gt;0,INDEX({"Performance","Satisfaction","Deadline","After-Hours"},MATCH("High",I11:L11,0)),IF(COUNTIF(I11:L11,"Medium")&gt;0,INDEX({"Performance","Satisfaction","Deadline","After-Hours"},MATCH("Medium",I11:L11,0)),"None"))</f>
        <v>None</v>
      </c>
    </row>
    <row r="12" spans="1:15" x14ac:dyDescent="0.3">
      <c r="A12" t="str">
        <f>Raw_Data!A12</f>
        <v>E011</v>
      </c>
      <c r="B12" t="str">
        <f>Raw_Data!B12</f>
        <v>Karan Arora</v>
      </c>
      <c r="C12" t="str">
        <f>Raw_Data!C12</f>
        <v>Operations</v>
      </c>
      <c r="D12" t="str">
        <f>Raw_Data!E12</f>
        <v>Nov</v>
      </c>
      <c r="E12">
        <f>Raw_Data!F12/Raw_Data!G12</f>
        <v>1.0714285714285714</v>
      </c>
      <c r="F12">
        <f>IFERROR(Raw_Data!I12/Raw_Data!H12,0)</f>
        <v>0.92592592592592593</v>
      </c>
      <c r="G12">
        <f>IFERROR(Raw_Data!J12/Raw_Data!F12,0)</f>
        <v>7.7777777777777779E-2</v>
      </c>
      <c r="H12">
        <f>IFERROR(Raw_Data!K12/Raw_Data!F12,0)</f>
        <v>0.14444444444444443</v>
      </c>
      <c r="I12" t="str">
        <f>IF(Raw_Data!N12&lt;3,"High",IF(Raw_Data!N12&lt;4,"Medium","Low"))</f>
        <v>Low</v>
      </c>
      <c r="J12" t="str">
        <f>IF(Raw_Data!M12&lt;3,"High",IF(Raw_Data!M12&lt;4,"Medium","Low"))</f>
        <v>Low</v>
      </c>
      <c r="K12" t="str">
        <f>IF(Raw_Data!O12&gt;=3,"High",IF(Raw_Data!O12&gt;=1,"Medium","Low"))</f>
        <v>High</v>
      </c>
      <c r="L12" t="str">
        <f>IF(Raw_Data!P12&gt;=10,"High",IF(Raw_Data!P12&gt;=5,"Medium","Low"))</f>
        <v>High</v>
      </c>
      <c r="M12">
        <f t="shared" si="0"/>
        <v>0.44391534391534399</v>
      </c>
      <c r="N12" t="str">
        <f t="shared" si="1"/>
        <v>Medium</v>
      </c>
      <c r="O12" t="str" cm="1">
        <f t="array" ref="O12">IF(COUNTIF(I12:L12,"High")&gt;0,INDEX({"Performance","Satisfaction","Deadline","After-Hours"},MATCH("High",I12:L12,0)),IF(COUNTIF(I12:L12,"Medium")&gt;0,INDEX({"Performance","Satisfaction","Deadline","After-Hours"},MATCH("Medium",I12:L12,0)),"None"))</f>
        <v>Deadline</v>
      </c>
    </row>
    <row r="13" spans="1:15" x14ac:dyDescent="0.3">
      <c r="A13" t="str">
        <f>Raw_Data!A13</f>
        <v>E012</v>
      </c>
      <c r="B13" t="str">
        <f>Raw_Data!B13</f>
        <v>Mehak Sethi</v>
      </c>
      <c r="C13" t="str">
        <f>Raw_Data!C13</f>
        <v>Sales</v>
      </c>
      <c r="D13" t="str">
        <f>Raw_Data!E13</f>
        <v>Dec</v>
      </c>
      <c r="E13">
        <f>Raw_Data!F13/Raw_Data!G13</f>
        <v>1.0357142857142858</v>
      </c>
      <c r="F13">
        <f>IFERROR(Raw_Data!I13/Raw_Data!H13,0)</f>
        <v>0.91836734693877553</v>
      </c>
      <c r="G13">
        <f>IFERROR(Raw_Data!J13/Raw_Data!F13,0)</f>
        <v>5.1724137931034482E-2</v>
      </c>
      <c r="H13">
        <f>IFERROR(Raw_Data!K13/Raw_Data!F13,0)</f>
        <v>0.1206896551724138</v>
      </c>
      <c r="I13" t="str">
        <f>IF(Raw_Data!N13&lt;3,"High",IF(Raw_Data!N13&lt;4,"Medium","Low"))</f>
        <v>Low</v>
      </c>
      <c r="J13" t="str">
        <f>IF(Raw_Data!M13&lt;3,"High",IF(Raw_Data!M13&lt;4,"Medium","Low"))</f>
        <v>Low</v>
      </c>
      <c r="K13" t="str">
        <f>IF(Raw_Data!O13&gt;=3,"High",IF(Raw_Data!O13&gt;=1,"Medium","Low"))</f>
        <v>Medium</v>
      </c>
      <c r="L13" t="str">
        <f>IF(Raw_Data!P13&gt;=10,"High",IF(Raw_Data!P13&gt;=5,"Medium","Low"))</f>
        <v>Medium</v>
      </c>
      <c r="M13">
        <f t="shared" si="0"/>
        <v>0.42529908515130194</v>
      </c>
      <c r="N13" t="str">
        <f t="shared" si="1"/>
        <v>Medium</v>
      </c>
      <c r="O13" t="str" cm="1">
        <f t="array" ref="O13">IF(COUNTIF(I13:L13,"High")&gt;0,INDEX({"Performance","Satisfaction","Deadline","After-Hours"},MATCH("High",I13:L13,0)),IF(COUNTIF(I13:L13,"Medium")&gt;0,INDEX({"Performance","Satisfaction","Deadline","After-Hours"},MATCH("Medium",I13:L13,0)),"None"))</f>
        <v>Deadline</v>
      </c>
    </row>
    <row r="14" spans="1:15" x14ac:dyDescent="0.3">
      <c r="A14" t="str">
        <f>Raw_Data!A14</f>
        <v>E013</v>
      </c>
      <c r="B14" t="str">
        <f>Raw_Data!B14</f>
        <v>Aditya Bansal</v>
      </c>
      <c r="C14" t="str">
        <f>Raw_Data!C14</f>
        <v>IT</v>
      </c>
      <c r="D14" t="str">
        <f>Raw_Data!E14</f>
        <v>Jan</v>
      </c>
      <c r="E14">
        <f>Raw_Data!F14/Raw_Data!G14</f>
        <v>1.1190476190476191</v>
      </c>
      <c r="F14">
        <f>IFERROR(Raw_Data!I14/Raw_Data!H14,0)</f>
        <v>0.9</v>
      </c>
      <c r="G14">
        <f>IFERROR(Raw_Data!J14/Raw_Data!F14,0)</f>
        <v>0.10638297872340426</v>
      </c>
      <c r="H14">
        <f>IFERROR(Raw_Data!K14/Raw_Data!F14,0)</f>
        <v>0.15425531914893617</v>
      </c>
      <c r="I14" t="str">
        <f>IF(Raw_Data!N14&lt;3,"High",IF(Raw_Data!N14&lt;4,"Medium","Low"))</f>
        <v>Low</v>
      </c>
      <c r="J14" t="str">
        <f>IF(Raw_Data!M14&lt;3,"High",IF(Raw_Data!M14&lt;4,"Medium","Low"))</f>
        <v>Low</v>
      </c>
      <c r="K14" t="str">
        <f>IF(Raw_Data!O14&gt;=3,"High",IF(Raw_Data!O14&gt;=1,"Medium","Low"))</f>
        <v>High</v>
      </c>
      <c r="L14" t="str">
        <f>IF(Raw_Data!P14&gt;=10,"High",IF(Raw_Data!P14&gt;=5,"Medium","Low"))</f>
        <v>High</v>
      </c>
      <c r="M14">
        <f t="shared" si="0"/>
        <v>0.45593718338399197</v>
      </c>
      <c r="N14" t="str">
        <f t="shared" si="1"/>
        <v>Medium</v>
      </c>
      <c r="O14" t="str" cm="1">
        <f t="array" ref="O14">IF(COUNTIF(I14:L14,"High")&gt;0,INDEX({"Performance","Satisfaction","Deadline","After-Hours"},MATCH("High",I14:L14,0)),IF(COUNTIF(I14:L14,"Medium")&gt;0,INDEX({"Performance","Satisfaction","Deadline","After-Hours"},MATCH("Medium",I14:L14,0)),"None"))</f>
        <v>Deadline</v>
      </c>
    </row>
    <row r="15" spans="1:15" x14ac:dyDescent="0.3">
      <c r="A15" t="str">
        <f>Raw_Data!A15</f>
        <v>E014</v>
      </c>
      <c r="B15" t="str">
        <f>Raw_Data!B15</f>
        <v>Riya Khanna</v>
      </c>
      <c r="C15" t="str">
        <f>Raw_Data!C15</f>
        <v>Finance</v>
      </c>
      <c r="D15" t="str">
        <f>Raw_Data!E15</f>
        <v>Feb</v>
      </c>
      <c r="E15">
        <f>Raw_Data!F15/Raw_Data!G15</f>
        <v>1.0059523809523809</v>
      </c>
      <c r="F15">
        <f>IFERROR(Raw_Data!I15/Raw_Data!H15,0)</f>
        <v>0.95454545454545459</v>
      </c>
      <c r="G15">
        <f>IFERROR(Raw_Data!J15/Raw_Data!F15,0)</f>
        <v>2.9585798816568046E-2</v>
      </c>
      <c r="H15">
        <f>IFERROR(Raw_Data!K15/Raw_Data!F15,0)</f>
        <v>0.10650887573964497</v>
      </c>
      <c r="I15" t="str">
        <f>IF(Raw_Data!N15&lt;3,"High",IF(Raw_Data!N15&lt;4,"Medium","Low"))</f>
        <v>Low</v>
      </c>
      <c r="J15" t="str">
        <f>IF(Raw_Data!M15&lt;3,"High",IF(Raw_Data!M15&lt;4,"Medium","Low"))</f>
        <v>Low</v>
      </c>
      <c r="K15" t="str">
        <f>IF(Raw_Data!O15&gt;=3,"High",IF(Raw_Data!O15&gt;=1,"Medium","Low"))</f>
        <v>Medium</v>
      </c>
      <c r="L15" t="str">
        <f>IF(Raw_Data!P15&gt;=10,"High",IF(Raw_Data!P15&gt;=5,"Medium","Low"))</f>
        <v>Medium</v>
      </c>
      <c r="M15">
        <f t="shared" si="0"/>
        <v>0.41931850201080967</v>
      </c>
      <c r="N15" t="str">
        <f t="shared" si="1"/>
        <v>Medium</v>
      </c>
      <c r="O15" t="str" cm="1">
        <f t="array" ref="O15">IF(COUNTIF(I15:L15,"High")&gt;0,INDEX({"Performance","Satisfaction","Deadline","After-Hours"},MATCH("High",I15:L15,0)),IF(COUNTIF(I15:L15,"Medium")&gt;0,INDEX({"Performance","Satisfaction","Deadline","After-Hours"},MATCH("Medium",I15:L15,0)),"None"))</f>
        <v>Deadline</v>
      </c>
    </row>
    <row r="16" spans="1:15" x14ac:dyDescent="0.3">
      <c r="A16" t="str">
        <f>Raw_Data!A16</f>
        <v>E015</v>
      </c>
      <c r="B16" t="str">
        <f>Raw_Data!B16</f>
        <v>Yash Thakur</v>
      </c>
      <c r="C16" t="str">
        <f>Raw_Data!C16</f>
        <v>Marketing</v>
      </c>
      <c r="D16" t="str">
        <f>Raw_Data!E16</f>
        <v>Mar</v>
      </c>
      <c r="E16">
        <f>Raw_Data!F16/Raw_Data!G16</f>
        <v>1.0476190476190477</v>
      </c>
      <c r="F16">
        <f>IFERROR(Raw_Data!I16/Raw_Data!H16,0)</f>
        <v>0.94230769230769229</v>
      </c>
      <c r="G16">
        <f>IFERROR(Raw_Data!J16/Raw_Data!F16,0)</f>
        <v>6.25E-2</v>
      </c>
      <c r="H16">
        <f>IFERROR(Raw_Data!K16/Raw_Data!F16,0)</f>
        <v>0.13068181818181818</v>
      </c>
      <c r="I16" t="str">
        <f>IF(Raw_Data!N16&lt;3,"High",IF(Raw_Data!N16&lt;4,"Medium","Low"))</f>
        <v>Low</v>
      </c>
      <c r="J16" t="str">
        <f>IF(Raw_Data!M16&lt;3,"High",IF(Raw_Data!M16&lt;4,"Medium","Low"))</f>
        <v>Low</v>
      </c>
      <c r="K16" t="str">
        <f>IF(Raw_Data!O16&gt;=3,"High",IF(Raw_Data!O16&gt;=1,"Medium","Low"))</f>
        <v>Medium</v>
      </c>
      <c r="L16" t="str">
        <f>IF(Raw_Data!P16&gt;=10,"High",IF(Raw_Data!P16&gt;=5,"Medium","Low"))</f>
        <v>High</v>
      </c>
      <c r="M16">
        <f t="shared" si="0"/>
        <v>0.43662171162171165</v>
      </c>
      <c r="N16" t="str">
        <f t="shared" si="1"/>
        <v>Medium</v>
      </c>
      <c r="O16" t="str" cm="1">
        <f t="array" ref="O16">IF(COUNTIF(I16:L16,"High")&gt;0,INDEX({"Performance","Satisfaction","Deadline","After-Hours"},MATCH("High",I16:L16,0)),IF(COUNTIF(I16:L16,"Medium")&gt;0,INDEX({"Performance","Satisfaction","Deadline","After-Hours"},MATCH("Medium",I16:L16,0)),"None"))</f>
        <v>After-Hours</v>
      </c>
    </row>
    <row r="17" spans="1:15" x14ac:dyDescent="0.3">
      <c r="A17" t="str">
        <f>Raw_Data!A17</f>
        <v>E016</v>
      </c>
      <c r="B17" t="str">
        <f>Raw_Data!B17</f>
        <v>Kavya Joshi</v>
      </c>
      <c r="C17" t="str">
        <f>Raw_Data!C17</f>
        <v>Human Resources</v>
      </c>
      <c r="D17" t="str">
        <f>Raw_Data!E17</f>
        <v>Apr</v>
      </c>
      <c r="E17">
        <f>Raw_Data!F17/Raw_Data!G17</f>
        <v>1.1428571428571428</v>
      </c>
      <c r="F17">
        <f>IFERROR(Raw_Data!I17/Raw_Data!H17,0)</f>
        <v>0.82089552238805974</v>
      </c>
      <c r="G17">
        <f>IFERROR(Raw_Data!J17/Raw_Data!F17,0)</f>
        <v>0.13541666666666666</v>
      </c>
      <c r="H17">
        <f>IFERROR(Raw_Data!K17/Raw_Data!F17,0)</f>
        <v>0.17708333333333334</v>
      </c>
      <c r="I17" t="str">
        <f>IF(Raw_Data!N17&lt;3,"High",IF(Raw_Data!N17&lt;4,"Medium","Low"))</f>
        <v>Low</v>
      </c>
      <c r="J17" t="str">
        <f>IF(Raw_Data!M17&lt;3,"High",IF(Raw_Data!M17&lt;4,"Medium","Low"))</f>
        <v>Medium</v>
      </c>
      <c r="K17" t="str">
        <f>IF(Raw_Data!O17&gt;=3,"High",IF(Raw_Data!O17&gt;=1,"Medium","Low"))</f>
        <v>High</v>
      </c>
      <c r="L17" t="str">
        <f>IF(Raw_Data!P17&gt;=10,"High",IF(Raw_Data!P17&gt;=5,"Medium","Low"))</f>
        <v>High</v>
      </c>
      <c r="M17">
        <f t="shared" si="0"/>
        <v>0.45525053304904051</v>
      </c>
      <c r="N17" t="str">
        <f t="shared" si="1"/>
        <v>Medium</v>
      </c>
      <c r="O17" t="str" cm="1">
        <f t="array" ref="O17">IF(COUNTIF(I17:L17,"High")&gt;0,INDEX({"Performance","Satisfaction","Deadline","After-Hours"},MATCH("High",I17:L17,0)),IF(COUNTIF(I17:L17,"Medium")&gt;0,INDEX({"Performance","Satisfaction","Deadline","After-Hours"},MATCH("Medium",I17:L17,0)),"None"))</f>
        <v>Deadline</v>
      </c>
    </row>
    <row r="18" spans="1:15" x14ac:dyDescent="0.3">
      <c r="A18" t="str">
        <f>Raw_Data!A18</f>
        <v>E017</v>
      </c>
      <c r="B18" t="str">
        <f>Raw_Data!B18</f>
        <v>Harsh Vardan</v>
      </c>
      <c r="C18" t="str">
        <f>Raw_Data!C18</f>
        <v>Operations</v>
      </c>
      <c r="D18" t="str">
        <f>Raw_Data!E18</f>
        <v>May</v>
      </c>
      <c r="E18">
        <f>Raw_Data!F18/Raw_Data!G18</f>
        <v>1.0773809523809523</v>
      </c>
      <c r="F18">
        <f>IFERROR(Raw_Data!I18/Raw_Data!H18,0)</f>
        <v>0.9107142857142857</v>
      </c>
      <c r="G18">
        <f>IFERROR(Raw_Data!J18/Raw_Data!F18,0)</f>
        <v>8.2872928176795577E-2</v>
      </c>
      <c r="H18">
        <f>IFERROR(Raw_Data!K18/Raw_Data!F18,0)</f>
        <v>0.15469613259668508</v>
      </c>
      <c r="I18" t="str">
        <f>IF(Raw_Data!N18&lt;3,"High",IF(Raw_Data!N18&lt;4,"Medium","Low"))</f>
        <v>Low</v>
      </c>
      <c r="J18" t="str">
        <f>IF(Raw_Data!M18&lt;3,"High",IF(Raw_Data!M18&lt;4,"Medium","Low"))</f>
        <v>Low</v>
      </c>
      <c r="K18" t="str">
        <f>IF(Raw_Data!O18&gt;=3,"High",IF(Raw_Data!O18&gt;=1,"Medium","Low"))</f>
        <v>High</v>
      </c>
      <c r="L18" t="str">
        <f>IF(Raw_Data!P18&gt;=10,"High",IF(Raw_Data!P18&gt;=5,"Medium","Low"))</f>
        <v>High</v>
      </c>
      <c r="M18">
        <f t="shared" si="0"/>
        <v>0.44513285977374378</v>
      </c>
      <c r="N18" t="str">
        <f t="shared" si="1"/>
        <v>Medium</v>
      </c>
      <c r="O18" t="str" cm="1">
        <f t="array" ref="O18">IF(COUNTIF(I18:L18,"High")&gt;0,INDEX({"Performance","Satisfaction","Deadline","After-Hours"},MATCH("High",I18:L18,0)),IF(COUNTIF(I18:L18,"Medium")&gt;0,INDEX({"Performance","Satisfaction","Deadline","After-Hours"},MATCH("Medium",I18:L18,0)),"None"))</f>
        <v>Deadline</v>
      </c>
    </row>
    <row r="19" spans="1:15" x14ac:dyDescent="0.3">
      <c r="A19" t="str">
        <f>Raw_Data!A19</f>
        <v>E018</v>
      </c>
      <c r="B19" t="str">
        <f>Raw_Data!B19</f>
        <v>Nisha Jain</v>
      </c>
      <c r="C19" t="str">
        <f>Raw_Data!C19</f>
        <v>Sales</v>
      </c>
      <c r="D19" t="str">
        <f>Raw_Data!E19</f>
        <v>Jun</v>
      </c>
      <c r="E19">
        <f>Raw_Data!F19/Raw_Data!G19</f>
        <v>1.0119047619047619</v>
      </c>
      <c r="F19">
        <f>IFERROR(Raw_Data!I19/Raw_Data!H19,0)</f>
        <v>0.93478260869565222</v>
      </c>
      <c r="G19">
        <f>IFERROR(Raw_Data!J19/Raw_Data!F19,0)</f>
        <v>4.1176470588235294E-2</v>
      </c>
      <c r="H19">
        <f>IFERROR(Raw_Data!K19/Raw_Data!F19,0)</f>
        <v>0.11764705882352941</v>
      </c>
      <c r="I19" t="str">
        <f>IF(Raw_Data!N19&lt;3,"High",IF(Raw_Data!N19&lt;4,"Medium","Low"))</f>
        <v>Low</v>
      </c>
      <c r="J19" t="str">
        <f>IF(Raw_Data!M19&lt;3,"High",IF(Raw_Data!M19&lt;4,"Medium","Low"))</f>
        <v>Low</v>
      </c>
      <c r="K19" t="str">
        <f>IF(Raw_Data!O19&gt;=3,"High",IF(Raw_Data!O19&gt;=1,"Medium","Low"))</f>
        <v>Medium</v>
      </c>
      <c r="L19" t="str">
        <f>IF(Raw_Data!P19&gt;=10,"High",IF(Raw_Data!P19&gt;=5,"Medium","Low"))</f>
        <v>Medium</v>
      </c>
      <c r="M19">
        <f t="shared" si="0"/>
        <v>0.42110218000243582</v>
      </c>
      <c r="N19" t="str">
        <f t="shared" si="1"/>
        <v>Medium</v>
      </c>
      <c r="O19" t="str" cm="1">
        <f t="array" ref="O19">IF(COUNTIF(I19:L19,"High")&gt;0,INDEX({"Performance","Satisfaction","Deadline","After-Hours"},MATCH("High",I19:L19,0)),IF(COUNTIF(I19:L19,"Medium")&gt;0,INDEX({"Performance","Satisfaction","Deadline","After-Hours"},MATCH("Medium",I19:L19,0)),"None"))</f>
        <v>Deadline</v>
      </c>
    </row>
    <row r="20" spans="1:15" x14ac:dyDescent="0.3">
      <c r="A20" t="str">
        <f>Raw_Data!A20</f>
        <v>E019</v>
      </c>
      <c r="B20" t="str">
        <f>Raw_Data!B20</f>
        <v>Aman Kapoor</v>
      </c>
      <c r="C20" t="str">
        <f>Raw_Data!C20</f>
        <v>IT</v>
      </c>
      <c r="D20" t="str">
        <f>Raw_Data!E20</f>
        <v>Jul</v>
      </c>
      <c r="E20">
        <f>Raw_Data!F20/Raw_Data!G20</f>
        <v>1.1071428571428572</v>
      </c>
      <c r="F20">
        <f>IFERROR(Raw_Data!I20/Raw_Data!H20,0)</f>
        <v>0.86885245901639341</v>
      </c>
      <c r="G20">
        <f>IFERROR(Raw_Data!J20/Raw_Data!F20,0)</f>
        <v>0.11827956989247312</v>
      </c>
      <c r="H20">
        <f>IFERROR(Raw_Data!K20/Raw_Data!F20,0)</f>
        <v>0.17204301075268819</v>
      </c>
      <c r="I20" t="str">
        <f>IF(Raw_Data!N20&lt;3,"High",IF(Raw_Data!N20&lt;4,"Medium","Low"))</f>
        <v>Low</v>
      </c>
      <c r="J20" t="str">
        <f>IF(Raw_Data!M20&lt;3,"High",IF(Raw_Data!M20&lt;4,"Medium","Low"))</f>
        <v>Low</v>
      </c>
      <c r="K20" t="str">
        <f>IF(Raw_Data!O20&gt;=3,"High",IF(Raw_Data!O20&gt;=1,"Medium","Low"))</f>
        <v>High</v>
      </c>
      <c r="L20" t="str">
        <f>IF(Raw_Data!P20&gt;=10,"High",IF(Raw_Data!P20&gt;=5,"Medium","Low"))</f>
        <v>High</v>
      </c>
      <c r="M20">
        <f t="shared" si="0"/>
        <v>0.45326357936088246</v>
      </c>
      <c r="N20" t="str">
        <f t="shared" si="1"/>
        <v>Medium</v>
      </c>
      <c r="O20" t="str" cm="1">
        <f t="array" ref="O20">IF(COUNTIF(I20:L20,"High")&gt;0,INDEX({"Performance","Satisfaction","Deadline","After-Hours"},MATCH("High",I20:L20,0)),IF(COUNTIF(I20:L20,"Medium")&gt;0,INDEX({"Performance","Satisfaction","Deadline","After-Hours"},MATCH("Medium",I20:L20,0)),"None"))</f>
        <v>Deadline</v>
      </c>
    </row>
    <row r="21" spans="1:15" x14ac:dyDescent="0.3">
      <c r="A21" t="str">
        <f>Raw_Data!A21</f>
        <v>E020</v>
      </c>
      <c r="B21" t="str">
        <f>Raw_Data!B21</f>
        <v>Sneha Verma</v>
      </c>
      <c r="C21" t="str">
        <f>Raw_Data!C21</f>
        <v>Finance</v>
      </c>
      <c r="D21" t="str">
        <f>Raw_Data!E21</f>
        <v>Aug</v>
      </c>
      <c r="E21">
        <f>Raw_Data!F21/Raw_Data!G21</f>
        <v>1.0416666666666667</v>
      </c>
      <c r="F21">
        <f>IFERROR(Raw_Data!I21/Raw_Data!H21,0)</f>
        <v>0.94</v>
      </c>
      <c r="G21">
        <f>IFERROR(Raw_Data!J21/Raw_Data!F21,0)</f>
        <v>6.8571428571428575E-2</v>
      </c>
      <c r="H21">
        <f>IFERROR(Raw_Data!K21/Raw_Data!F21,0)</f>
        <v>0.14285714285714285</v>
      </c>
      <c r="I21" t="str">
        <f>IF(Raw_Data!N21&lt;3,"High",IF(Raw_Data!N21&lt;4,"Medium","Low"))</f>
        <v>Low</v>
      </c>
      <c r="J21" t="str">
        <f>IF(Raw_Data!M21&lt;3,"High",IF(Raw_Data!M21&lt;4,"Medium","Low"))</f>
        <v>Low</v>
      </c>
      <c r="K21" t="str">
        <f>IF(Raw_Data!O21&gt;=3,"High",IF(Raw_Data!O21&gt;=1,"Medium","Low"))</f>
        <v>Medium</v>
      </c>
      <c r="L21" t="str">
        <f>IF(Raw_Data!P21&gt;=10,"High",IF(Raw_Data!P21&gt;=5,"Medium","Low"))</f>
        <v>Medium</v>
      </c>
      <c r="M21">
        <f t="shared" si="0"/>
        <v>0.43861904761904769</v>
      </c>
      <c r="N21" t="str">
        <f t="shared" si="1"/>
        <v>Medium</v>
      </c>
      <c r="O21" t="str" cm="1">
        <f t="array" ref="O21">IF(COUNTIF(I21:L21,"High")&gt;0,INDEX({"Performance","Satisfaction","Deadline","After-Hours"},MATCH("High",I21:L21,0)),IF(COUNTIF(I21:L21,"Medium")&gt;0,INDEX({"Performance","Satisfaction","Deadline","After-Hours"},MATCH("Medium",I21:L21,0)),"None"))</f>
        <v>Deadline</v>
      </c>
    </row>
    <row r="22" spans="1:15" x14ac:dyDescent="0.3">
      <c r="A22" t="str">
        <f>Raw_Data!A22</f>
        <v>E021</v>
      </c>
      <c r="B22" t="str">
        <f>Raw_Data!B22</f>
        <v>Devansh Gupta</v>
      </c>
      <c r="C22" t="str">
        <f>Raw_Data!C22</f>
        <v>Marketing</v>
      </c>
      <c r="D22" t="str">
        <f>Raw_Data!E22</f>
        <v>Sep</v>
      </c>
      <c r="E22">
        <f>Raw_Data!F22/Raw_Data!G22</f>
        <v>0.97619047619047616</v>
      </c>
      <c r="F22">
        <f>IFERROR(Raw_Data!I22/Raw_Data!H22,0)</f>
        <v>0.94871794871794868</v>
      </c>
      <c r="G22">
        <f>IFERROR(Raw_Data!J22/Raw_Data!F22,0)</f>
        <v>6.0975609756097563E-3</v>
      </c>
      <c r="H22">
        <f>IFERROR(Raw_Data!K22/Raw_Data!F22,0)</f>
        <v>8.5365853658536592E-2</v>
      </c>
      <c r="I22" t="str">
        <f>IF(Raw_Data!N22&lt;3,"High",IF(Raw_Data!N22&lt;4,"Medium","Low"))</f>
        <v>Low</v>
      </c>
      <c r="J22" t="str">
        <f>IF(Raw_Data!M22&lt;3,"High",IF(Raw_Data!M22&lt;4,"Medium","Low"))</f>
        <v>Low</v>
      </c>
      <c r="K22" t="str">
        <f>IF(Raw_Data!O22&gt;=3,"High",IF(Raw_Data!O22&gt;=1,"Medium","Low"))</f>
        <v>Low</v>
      </c>
      <c r="L22" t="str">
        <f>IF(Raw_Data!P22&gt;=10,"High",IF(Raw_Data!P22&gt;=5,"Medium","Low"))</f>
        <v>Low</v>
      </c>
      <c r="M22">
        <f t="shared" si="0"/>
        <v>0.40327436790851423</v>
      </c>
      <c r="N22" t="str">
        <f t="shared" si="1"/>
        <v>Medium</v>
      </c>
      <c r="O22" t="str" cm="1">
        <f t="array" ref="O22">IF(COUNTIF(I22:L22,"High")&gt;0,INDEX({"Performance","Satisfaction","Deadline","After-Hours"},MATCH("High",I22:L22,0)),IF(COUNTIF(I22:L22,"Medium")&gt;0,INDEX({"Performance","Satisfaction","Deadline","After-Hours"},MATCH("Medium",I22:L22,0)),"None"))</f>
        <v>None</v>
      </c>
    </row>
    <row r="23" spans="1:15" x14ac:dyDescent="0.3">
      <c r="A23" t="str">
        <f>Raw_Data!A23</f>
        <v>E022</v>
      </c>
      <c r="B23" t="str">
        <f>Raw_Data!B23</f>
        <v>Pooja Malhotra</v>
      </c>
      <c r="C23" t="str">
        <f>Raw_Data!C23</f>
        <v>Human Resources</v>
      </c>
      <c r="D23" t="str">
        <f>Raw_Data!E23</f>
        <v>Oct</v>
      </c>
      <c r="E23">
        <f>Raw_Data!F23/Raw_Data!G23</f>
        <v>1.0654761904761905</v>
      </c>
      <c r="F23">
        <f>IFERROR(Raw_Data!I23/Raw_Data!H23,0)</f>
        <v>0.90566037735849059</v>
      </c>
      <c r="G23">
        <f>IFERROR(Raw_Data!J23/Raw_Data!F23,0)</f>
        <v>7.2625698324022353E-2</v>
      </c>
      <c r="H23">
        <f>IFERROR(Raw_Data!K23/Raw_Data!F23,0)</f>
        <v>0.13407821229050279</v>
      </c>
      <c r="I23" t="str">
        <f>IF(Raw_Data!N23&lt;3,"High",IF(Raw_Data!N23&lt;4,"Medium","Low"))</f>
        <v>Low</v>
      </c>
      <c r="J23" t="str">
        <f>IF(Raw_Data!M23&lt;3,"High",IF(Raw_Data!M23&lt;4,"Medium","Low"))</f>
        <v>Low</v>
      </c>
      <c r="K23" t="str">
        <f>IF(Raw_Data!O23&gt;=3,"High",IF(Raw_Data!O23&gt;=1,"Medium","Low"))</f>
        <v>Medium</v>
      </c>
      <c r="L23" t="str">
        <f>IF(Raw_Data!P23&gt;=10,"High",IF(Raw_Data!P23&gt;=5,"Medium","Low"))</f>
        <v>High</v>
      </c>
      <c r="M23">
        <f t="shared" si="0"/>
        <v>0.43556809568984123</v>
      </c>
      <c r="N23" t="str">
        <f t="shared" si="1"/>
        <v>Medium</v>
      </c>
      <c r="O23" t="str" cm="1">
        <f t="array" ref="O23">IF(COUNTIF(I23:L23,"High")&gt;0,INDEX({"Performance","Satisfaction","Deadline","After-Hours"},MATCH("High",I23:L23,0)),IF(COUNTIF(I23:L23,"Medium")&gt;0,INDEX({"Performance","Satisfaction","Deadline","After-Hours"},MATCH("Medium",I23:L23,0)),"None"))</f>
        <v>After-Hours</v>
      </c>
    </row>
    <row r="24" spans="1:15" x14ac:dyDescent="0.3">
      <c r="A24" t="str">
        <f>Raw_Data!A24</f>
        <v>E023</v>
      </c>
      <c r="B24" t="str">
        <f>Raw_Data!B24</f>
        <v>Sahil Arora</v>
      </c>
      <c r="C24" t="str">
        <f>Raw_Data!C24</f>
        <v>Operations</v>
      </c>
      <c r="D24" t="str">
        <f>Raw_Data!E24</f>
        <v>Nov</v>
      </c>
      <c r="E24">
        <f>Raw_Data!F24/Raw_Data!G24</f>
        <v>1.1369047619047619</v>
      </c>
      <c r="F24">
        <f>IFERROR(Raw_Data!I24/Raw_Data!H24,0)</f>
        <v>0.86153846153846159</v>
      </c>
      <c r="G24">
        <f>IFERROR(Raw_Data!J24/Raw_Data!F24,0)</f>
        <v>0.13089005235602094</v>
      </c>
      <c r="H24">
        <f>IFERROR(Raw_Data!K24/Raw_Data!F24,0)</f>
        <v>0.15706806282722513</v>
      </c>
      <c r="I24" t="str">
        <f>IF(Raw_Data!N24&lt;3,"High",IF(Raw_Data!N24&lt;4,"Medium","Low"))</f>
        <v>Low</v>
      </c>
      <c r="J24" t="str">
        <f>IF(Raw_Data!M24&lt;3,"High",IF(Raw_Data!M24&lt;4,"Medium","Low"))</f>
        <v>Low</v>
      </c>
      <c r="K24" t="str">
        <f>IF(Raw_Data!O24&gt;=3,"High",IF(Raw_Data!O24&gt;=1,"Medium","Low"))</f>
        <v>High</v>
      </c>
      <c r="L24" t="str">
        <f>IF(Raw_Data!P24&gt;=10,"High",IF(Raw_Data!P24&gt;=5,"Medium","Low"))</f>
        <v>High</v>
      </c>
      <c r="M24">
        <f t="shared" si="0"/>
        <v>0.4572802677252939</v>
      </c>
      <c r="N24" t="str">
        <f t="shared" si="1"/>
        <v>Medium</v>
      </c>
      <c r="O24" t="str" cm="1">
        <f t="array" ref="O24">IF(COUNTIF(I24:L24,"High")&gt;0,INDEX({"Performance","Satisfaction","Deadline","After-Hours"},MATCH("High",I24:L24,0)),IF(COUNTIF(I24:L24,"Medium")&gt;0,INDEX({"Performance","Satisfaction","Deadline","After-Hours"},MATCH("Medium",I24:L24,0)),"None"))</f>
        <v>Deadline</v>
      </c>
    </row>
    <row r="25" spans="1:15" x14ac:dyDescent="0.3">
      <c r="A25" t="str">
        <f>Raw_Data!A25</f>
        <v>E024</v>
      </c>
      <c r="B25" t="str">
        <f>Raw_Data!B25</f>
        <v>Tanya Sharma</v>
      </c>
      <c r="C25" t="str">
        <f>Raw_Data!C25</f>
        <v>Sales</v>
      </c>
      <c r="D25" t="str">
        <f>Raw_Data!E25</f>
        <v>Dec</v>
      </c>
      <c r="E25">
        <f>Raw_Data!F25/Raw_Data!G25</f>
        <v>1.0297619047619047</v>
      </c>
      <c r="F25">
        <f>IFERROR(Raw_Data!I25/Raw_Data!H25,0)</f>
        <v>0.9375</v>
      </c>
      <c r="G25">
        <f>IFERROR(Raw_Data!J25/Raw_Data!F25,0)</f>
        <v>3.4682080924855488E-2</v>
      </c>
      <c r="H25">
        <f>IFERROR(Raw_Data!K25/Raw_Data!F25,0)</f>
        <v>0.12716763005780346</v>
      </c>
      <c r="I25" t="str">
        <f>IF(Raw_Data!N25&lt;3,"High",IF(Raw_Data!N25&lt;4,"Medium","Low"))</f>
        <v>Low</v>
      </c>
      <c r="J25" t="str">
        <f>IF(Raw_Data!M25&lt;3,"High",IF(Raw_Data!M25&lt;4,"Medium","Low"))</f>
        <v>Low</v>
      </c>
      <c r="K25" t="str">
        <f>IF(Raw_Data!O25&gt;=3,"High",IF(Raw_Data!O25&gt;=1,"Medium","Low"))</f>
        <v>Medium</v>
      </c>
      <c r="L25" t="str">
        <f>IF(Raw_Data!P25&gt;=10,"High",IF(Raw_Data!P25&gt;=5,"Medium","Low"))</f>
        <v>Medium</v>
      </c>
      <c r="M25">
        <f t="shared" si="0"/>
        <v>0.42582232314891272</v>
      </c>
      <c r="N25" t="str">
        <f t="shared" si="1"/>
        <v>Medium</v>
      </c>
      <c r="O25" t="str" cm="1">
        <f t="array" ref="O25">IF(COUNTIF(I25:L25,"High")&gt;0,INDEX({"Performance","Satisfaction","Deadline","After-Hours"},MATCH("High",I25:L25,0)),IF(COUNTIF(I25:L25,"Medium")&gt;0,INDEX({"Performance","Satisfaction","Deadline","After-Hours"},MATCH("Medium",I25:L25,0)),"None"))</f>
        <v>Deadline</v>
      </c>
    </row>
    <row r="26" spans="1:15" x14ac:dyDescent="0.3">
      <c r="A26" t="str">
        <f>Raw_Data!A26</f>
        <v>E025</v>
      </c>
      <c r="B26" t="str">
        <f>Raw_Data!B26</f>
        <v>Mohit Bhatia</v>
      </c>
      <c r="C26" t="str">
        <f>Raw_Data!C26</f>
        <v>IT</v>
      </c>
      <c r="D26" t="str">
        <f>Raw_Data!E26</f>
        <v>Jan</v>
      </c>
      <c r="E26">
        <f>Raw_Data!F26/Raw_Data!G26</f>
        <v>1</v>
      </c>
      <c r="F26">
        <f>IFERROR(Raw_Data!I26/Raw_Data!H26,0)</f>
        <v>0.95348837209302328</v>
      </c>
      <c r="G26">
        <f>IFERROR(Raw_Data!J26/Raw_Data!F26,0)</f>
        <v>2.3809523809523808E-2</v>
      </c>
      <c r="H26">
        <f>IFERROR(Raw_Data!K26/Raw_Data!F26,0)</f>
        <v>0.10714285714285714</v>
      </c>
      <c r="I26" t="str">
        <f>IF(Raw_Data!N26&lt;3,"High",IF(Raw_Data!N26&lt;4,"Medium","Low"))</f>
        <v>Low</v>
      </c>
      <c r="J26" t="str">
        <f>IF(Raw_Data!M26&lt;3,"High",IF(Raw_Data!M26&lt;4,"Medium","Low"))</f>
        <v>Low</v>
      </c>
      <c r="K26" t="str">
        <f>IF(Raw_Data!O26&gt;=3,"High",IF(Raw_Data!O26&gt;=1,"Medium","Low"))</f>
        <v>Medium</v>
      </c>
      <c r="L26" t="str">
        <f>IF(Raw_Data!P26&gt;=10,"High",IF(Raw_Data!P26&gt;=5,"Medium","Low"))</f>
        <v>Low</v>
      </c>
      <c r="M26">
        <f t="shared" si="0"/>
        <v>0.41688815060908085</v>
      </c>
      <c r="N26" t="str">
        <f t="shared" si="1"/>
        <v>Medium</v>
      </c>
      <c r="O26" t="str" cm="1">
        <f t="array" ref="O26">IF(COUNTIF(I26:L26,"High")&gt;0,INDEX({"Performance","Satisfaction","Deadline","After-Hours"},MATCH("High",I26:L26,0)),IF(COUNTIF(I26:L26,"Medium")&gt;0,INDEX({"Performance","Satisfaction","Deadline","After-Hours"},MATCH("Medium",I26:L26,0)),"None"))</f>
        <v>Deadline</v>
      </c>
    </row>
    <row r="27" spans="1:15" x14ac:dyDescent="0.3">
      <c r="A27" t="str">
        <f>Raw_Data!A27</f>
        <v>E026</v>
      </c>
      <c r="B27" t="str">
        <f>Raw_Data!B27</f>
        <v>Anajli Mehta</v>
      </c>
      <c r="C27" t="str">
        <f>Raw_Data!C27</f>
        <v>Finance</v>
      </c>
      <c r="D27" t="str">
        <f>Raw_Data!E27</f>
        <v>Feb</v>
      </c>
      <c r="E27">
        <f>Raw_Data!F27/Raw_Data!G27</f>
        <v>1.0952380952380953</v>
      </c>
      <c r="F27">
        <f>IFERROR(Raw_Data!I27/Raw_Data!H27,0)</f>
        <v>0.88135593220338981</v>
      </c>
      <c r="G27">
        <f>IFERROR(Raw_Data!J27/Raw_Data!F27,0)</f>
        <v>9.2391304347826081E-2</v>
      </c>
      <c r="H27">
        <f>IFERROR(Raw_Data!K27/Raw_Data!F27,0)</f>
        <v>0.15760869565217392</v>
      </c>
      <c r="I27" t="str">
        <f>IF(Raw_Data!N27&lt;3,"High",IF(Raw_Data!N27&lt;4,"Medium","Low"))</f>
        <v>Low</v>
      </c>
      <c r="J27" t="str">
        <f>IF(Raw_Data!M27&lt;3,"High",IF(Raw_Data!M27&lt;4,"Medium","Low"))</f>
        <v>Low</v>
      </c>
      <c r="K27" t="str">
        <f>IF(Raw_Data!O27&gt;=3,"High",IF(Raw_Data!O27&gt;=1,"Medium","Low"))</f>
        <v>High</v>
      </c>
      <c r="L27" t="str">
        <f>IF(Raw_Data!P27&gt;=10,"High",IF(Raw_Data!P27&gt;=5,"Medium","Low"))</f>
        <v>High</v>
      </c>
      <c r="M27">
        <f t="shared" si="0"/>
        <v>0.445318805488297</v>
      </c>
      <c r="N27" t="str">
        <f t="shared" si="1"/>
        <v>Medium</v>
      </c>
      <c r="O27" t="str" cm="1">
        <f t="array" ref="O27">IF(COUNTIF(I27:L27,"High")&gt;0,INDEX({"Performance","Satisfaction","Deadline","After-Hours"},MATCH("High",I27:L27,0)),IF(COUNTIF(I27:L27,"Medium")&gt;0,INDEX({"Performance","Satisfaction","Deadline","After-Hours"},MATCH("Medium",I27:L27,0)),"None"))</f>
        <v>Deadline</v>
      </c>
    </row>
    <row r="28" spans="1:15" x14ac:dyDescent="0.3">
      <c r="A28" t="str">
        <f>Raw_Data!A28</f>
        <v>E027</v>
      </c>
      <c r="B28" t="str">
        <f>Raw_Data!B28</f>
        <v xml:space="preserve">Varun Singh </v>
      </c>
      <c r="C28" t="str">
        <f>Raw_Data!C28</f>
        <v>Marketing</v>
      </c>
      <c r="D28" t="str">
        <f>Raw_Data!E28</f>
        <v>Mar</v>
      </c>
      <c r="E28">
        <f>Raw_Data!F28/Raw_Data!G28</f>
        <v>1.0535714285714286</v>
      </c>
      <c r="F28">
        <f>IFERROR(Raw_Data!I28/Raw_Data!H28,0)</f>
        <v>0.92156862745098034</v>
      </c>
      <c r="G28">
        <f>IFERROR(Raw_Data!J28/Raw_Data!F28,0)</f>
        <v>4.519774011299435E-2</v>
      </c>
      <c r="H28">
        <f>IFERROR(Raw_Data!K28/Raw_Data!F28,0)</f>
        <v>0.12994350282485875</v>
      </c>
      <c r="I28" t="str">
        <f>IF(Raw_Data!N28&lt;3,"High",IF(Raw_Data!N28&lt;4,"Medium","Low"))</f>
        <v>Low</v>
      </c>
      <c r="J28" t="str">
        <f>IF(Raw_Data!M28&lt;3,"High",IF(Raw_Data!M28&lt;4,"Medium","Low"))</f>
        <v>Low</v>
      </c>
      <c r="K28" t="str">
        <f>IF(Raw_Data!O28&gt;=3,"High",IF(Raw_Data!O28&gt;=1,"Medium","Low"))</f>
        <v>Medium</v>
      </c>
      <c r="L28" t="str">
        <f>IF(Raw_Data!P28&gt;=10,"High",IF(Raw_Data!P28&gt;=5,"Medium","Low"))</f>
        <v>Medium</v>
      </c>
      <c r="M28">
        <f t="shared" si="0"/>
        <v>0.43005625979205248</v>
      </c>
      <c r="N28" t="str">
        <f t="shared" si="1"/>
        <v>Medium</v>
      </c>
      <c r="O28" t="str" cm="1">
        <f t="array" ref="O28">IF(COUNTIF(I28:L28,"High")&gt;0,INDEX({"Performance","Satisfaction","Deadline","After-Hours"},MATCH("High",I28:L28,0)),IF(COUNTIF(I28:L28,"Medium")&gt;0,INDEX({"Performance","Satisfaction","Deadline","After-Hours"},MATCH("Medium",I28:L28,0)),"None"))</f>
        <v>Deadline</v>
      </c>
    </row>
    <row r="29" spans="1:15" x14ac:dyDescent="0.3">
      <c r="A29" t="str">
        <f>Raw_Data!A29</f>
        <v>E028</v>
      </c>
      <c r="B29" t="str">
        <f>Raw_Data!B29</f>
        <v>Shreya Mehta</v>
      </c>
      <c r="C29" t="str">
        <f>Raw_Data!C29</f>
        <v>Human Resources</v>
      </c>
      <c r="D29" t="str">
        <f>Raw_Data!E29</f>
        <v>Apr</v>
      </c>
      <c r="E29">
        <f>Raw_Data!F29/Raw_Data!G29</f>
        <v>0.9642857142857143</v>
      </c>
      <c r="F29">
        <f>IFERROR(Raw_Data!I29/Raw_Data!H29,0)</f>
        <v>0.95121951219512191</v>
      </c>
      <c r="G29">
        <f>IFERROR(Raw_Data!J29/Raw_Data!F29,0)</f>
        <v>1.2345679012345678E-2</v>
      </c>
      <c r="H29">
        <f>IFERROR(Raw_Data!K29/Raw_Data!F29,0)</f>
        <v>9.8765432098765427E-2</v>
      </c>
      <c r="I29" t="str">
        <f>IF(Raw_Data!N29&lt;3,"High",IF(Raw_Data!N29&lt;4,"Medium","Low"))</f>
        <v>Low</v>
      </c>
      <c r="J29" t="str">
        <f>IF(Raw_Data!M29&lt;3,"High",IF(Raw_Data!M29&lt;4,"Medium","Low"))</f>
        <v>Low</v>
      </c>
      <c r="K29" t="str">
        <f>IF(Raw_Data!O29&gt;=3,"High",IF(Raw_Data!O29&gt;=1,"Medium","Low"))</f>
        <v>Low</v>
      </c>
      <c r="L29" t="str">
        <f>IF(Raw_Data!P29&gt;=10,"High",IF(Raw_Data!P29&gt;=5,"Medium","Low"))</f>
        <v>Low</v>
      </c>
      <c r="M29">
        <f t="shared" si="0"/>
        <v>0.40532326751838954</v>
      </c>
      <c r="N29" t="str">
        <f t="shared" si="1"/>
        <v>Medium</v>
      </c>
      <c r="O29" t="str" cm="1">
        <f t="array" ref="O29">IF(COUNTIF(I29:L29,"High")&gt;0,INDEX({"Performance","Satisfaction","Deadline","After-Hours"},MATCH("High",I29:L29,0)),IF(COUNTIF(I29:L29,"Medium")&gt;0,INDEX({"Performance","Satisfaction","Deadline","After-Hours"},MATCH("Medium",I29:L29,0)),"None"))</f>
        <v>None</v>
      </c>
    </row>
    <row r="30" spans="1:15" x14ac:dyDescent="0.3">
      <c r="A30" t="str">
        <f>Raw_Data!A30</f>
        <v>E029</v>
      </c>
      <c r="B30" t="str">
        <f>Raw_Data!B30</f>
        <v>Manav Khanna</v>
      </c>
      <c r="C30" t="str">
        <f>Raw_Data!C30</f>
        <v>Operations</v>
      </c>
      <c r="D30" t="str">
        <f>Raw_Data!E30</f>
        <v>May</v>
      </c>
      <c r="E30">
        <f>Raw_Data!F30/Raw_Data!G30</f>
        <v>1.125</v>
      </c>
      <c r="F30">
        <f>IFERROR(Raw_Data!I30/Raw_Data!H30,0)</f>
        <v>0.859375</v>
      </c>
      <c r="G30">
        <f>IFERROR(Raw_Data!J30/Raw_Data!F30,0)</f>
        <v>0.1111111111111111</v>
      </c>
      <c r="H30">
        <f>IFERROR(Raw_Data!K30/Raw_Data!F30,0)</f>
        <v>0.17460317460317459</v>
      </c>
      <c r="I30" t="str">
        <f>IF(Raw_Data!N30&lt;3,"High",IF(Raw_Data!N30&lt;4,"Medium","Low"))</f>
        <v>Low</v>
      </c>
      <c r="J30" t="str">
        <f>IF(Raw_Data!M30&lt;3,"High",IF(Raw_Data!M30&lt;4,"Medium","Low"))</f>
        <v>Low</v>
      </c>
      <c r="K30" t="str">
        <f>IF(Raw_Data!O30&gt;=3,"High",IF(Raw_Data!O30&gt;=1,"Medium","Low"))</f>
        <v>High</v>
      </c>
      <c r="L30" t="str">
        <f>IF(Raw_Data!P30&gt;=10,"High",IF(Raw_Data!P30&gt;=5,"Medium","Low"))</f>
        <v>High</v>
      </c>
      <c r="M30">
        <f t="shared" si="0"/>
        <v>0.45401785714285708</v>
      </c>
      <c r="N30" t="str">
        <f t="shared" si="1"/>
        <v>Medium</v>
      </c>
      <c r="O30" t="str" cm="1">
        <f t="array" ref="O30">IF(COUNTIF(I30:L30,"High")&gt;0,INDEX({"Performance","Satisfaction","Deadline","After-Hours"},MATCH("High",I30:L30,0)),IF(COUNTIF(I30:L30,"Medium")&gt;0,INDEX({"Performance","Satisfaction","Deadline","After-Hours"},MATCH("Medium",I30:L30,0)),"None"))</f>
        <v>Deadline</v>
      </c>
    </row>
    <row r="31" spans="1:15" x14ac:dyDescent="0.3">
      <c r="A31" t="str">
        <f>Raw_Data!A31</f>
        <v>E030</v>
      </c>
      <c r="B31" t="str">
        <f>Raw_Data!B31</f>
        <v>Muskan Arora</v>
      </c>
      <c r="C31" t="str">
        <f>Raw_Data!C31</f>
        <v>Sales</v>
      </c>
      <c r="D31" t="str">
        <f>Raw_Data!E31</f>
        <v>Jun</v>
      </c>
      <c r="E31">
        <f>Raw_Data!F31/Raw_Data!G31</f>
        <v>1.0714285714285714</v>
      </c>
      <c r="F31">
        <f>IFERROR(Raw_Data!I31/Raw_Data!H31,0)</f>
        <v>0.90909090909090906</v>
      </c>
      <c r="G31">
        <f>IFERROR(Raw_Data!J31/Raw_Data!F31,0)</f>
        <v>7.7777777777777779E-2</v>
      </c>
      <c r="H31">
        <f>IFERROR(Raw_Data!K31/Raw_Data!F31,0)</f>
        <v>0.15</v>
      </c>
      <c r="I31" t="str">
        <f>IF(Raw_Data!N31&lt;3,"High",IF(Raw_Data!N31&lt;4,"Medium","Low"))</f>
        <v>Low</v>
      </c>
      <c r="J31" t="str">
        <f>IF(Raw_Data!M31&lt;3,"High",IF(Raw_Data!M31&lt;4,"Medium","Low"))</f>
        <v>Low</v>
      </c>
      <c r="K31" t="str">
        <f>IF(Raw_Data!O31&gt;=3,"High",IF(Raw_Data!O31&gt;=1,"Medium","Low"))</f>
        <v>High</v>
      </c>
      <c r="L31" t="str">
        <f>IF(Raw_Data!P31&gt;=10,"High",IF(Raw_Data!P31&gt;=5,"Medium","Low"))</f>
        <v>High</v>
      </c>
      <c r="M31">
        <f t="shared" si="0"/>
        <v>0.44165945165945164</v>
      </c>
      <c r="N31" t="str">
        <f t="shared" si="1"/>
        <v>Medium</v>
      </c>
      <c r="O31" t="str" cm="1">
        <f t="array" ref="O31">IF(COUNTIF(I31:L31,"High")&gt;0,INDEX({"Performance","Satisfaction","Deadline","After-Hours"},MATCH("High",I31:L31,0)),IF(COUNTIF(I31:L31,"Medium")&gt;0,INDEX({"Performance","Satisfaction","Deadline","After-Hours"},MATCH("Medium",I31:L31,0)),"None"))</f>
        <v>Deadline</v>
      </c>
    </row>
    <row r="32" spans="1:15" x14ac:dyDescent="0.3">
      <c r="A32" t="str">
        <f>Raw_Data!A32</f>
        <v>E031</v>
      </c>
      <c r="B32" t="str">
        <f>Raw_Data!B32</f>
        <v>Abhishek Jain</v>
      </c>
      <c r="C32" t="str">
        <f>Raw_Data!C32</f>
        <v>IT</v>
      </c>
      <c r="D32" t="str">
        <f>Raw_Data!E32</f>
        <v>Jul</v>
      </c>
      <c r="E32">
        <f>Raw_Data!F32/Raw_Data!G32</f>
        <v>1.0416666666666667</v>
      </c>
      <c r="F32">
        <f>IFERROR(Raw_Data!I32/Raw_Data!H32,0)</f>
        <v>0.93617021276595747</v>
      </c>
      <c r="G32">
        <f>IFERROR(Raw_Data!J32/Raw_Data!F32,0)</f>
        <v>0.04</v>
      </c>
      <c r="H32">
        <f>IFERROR(Raw_Data!K32/Raw_Data!F32,0)</f>
        <v>0.12</v>
      </c>
      <c r="I32" t="str">
        <f>IF(Raw_Data!N32&lt;3,"High",IF(Raw_Data!N32&lt;4,"Medium","Low"))</f>
        <v>Low</v>
      </c>
      <c r="J32" t="str">
        <f>IF(Raw_Data!M32&lt;3,"High",IF(Raw_Data!M32&lt;4,"Medium","Low"))</f>
        <v>Low</v>
      </c>
      <c r="K32" t="str">
        <f>IF(Raw_Data!O32&gt;=3,"High",IF(Raw_Data!O32&gt;=1,"Medium","Low"))</f>
        <v>Medium</v>
      </c>
      <c r="L32" t="str">
        <f>IF(Raw_Data!P32&gt;=10,"High",IF(Raw_Data!P32&gt;=5,"Medium","Low"))</f>
        <v>Medium</v>
      </c>
      <c r="M32">
        <f t="shared" si="0"/>
        <v>0.42756737588652494</v>
      </c>
      <c r="N32" t="str">
        <f t="shared" si="1"/>
        <v>Medium</v>
      </c>
      <c r="O32" t="str" cm="1">
        <f t="array" ref="O32">IF(COUNTIF(I32:L32,"High")&gt;0,INDEX({"Performance","Satisfaction","Deadline","After-Hours"},MATCH("High",I32:L32,0)),IF(COUNTIF(I32:L32,"Medium")&gt;0,INDEX({"Performance","Satisfaction","Deadline","After-Hours"},MATCH("Medium",I32:L32,0)),"None"))</f>
        <v>Deadline</v>
      </c>
    </row>
    <row r="33" spans="1:15" x14ac:dyDescent="0.3">
      <c r="A33" t="str">
        <f>Raw_Data!A33</f>
        <v>E032</v>
      </c>
      <c r="B33" t="str">
        <f>Raw_Data!B33</f>
        <v>Diya sharma</v>
      </c>
      <c r="C33" t="str">
        <f>Raw_Data!C33</f>
        <v>Finance</v>
      </c>
      <c r="D33" t="str">
        <f>Raw_Data!E33</f>
        <v>Aug</v>
      </c>
      <c r="E33">
        <f>Raw_Data!F33/Raw_Data!G33</f>
        <v>1.1488095238095237</v>
      </c>
      <c r="F33">
        <f>IFERROR(Raw_Data!I33/Raw_Data!H33,0)</f>
        <v>0.82608695652173914</v>
      </c>
      <c r="G33">
        <f>IFERROR(Raw_Data!J33/Raw_Data!F33,0)</f>
        <v>0.14507772020725387</v>
      </c>
      <c r="H33">
        <f>IFERROR(Raw_Data!K33/Raw_Data!F33,0)</f>
        <v>0.18652849740932642</v>
      </c>
      <c r="I33" t="str">
        <f>IF(Raw_Data!N33&lt;3,"High",IF(Raw_Data!N33&lt;4,"Medium","Low"))</f>
        <v>Low</v>
      </c>
      <c r="J33" t="str">
        <f>IF(Raw_Data!M33&lt;3,"High",IF(Raw_Data!M33&lt;4,"Medium","Low"))</f>
        <v>Medium</v>
      </c>
      <c r="K33" t="str">
        <f>IF(Raw_Data!O33&gt;=3,"High",IF(Raw_Data!O33&gt;=1,"Medium","Low"))</f>
        <v>High</v>
      </c>
      <c r="L33" t="str">
        <f>IF(Raw_Data!P33&gt;=10,"High",IF(Raw_Data!P33&gt;=5,"Medium","Low"))</f>
        <v>High</v>
      </c>
      <c r="M33">
        <f t="shared" si="0"/>
        <v>0.46130053958956868</v>
      </c>
      <c r="N33" t="str">
        <f t="shared" si="1"/>
        <v>Medium</v>
      </c>
      <c r="O33" t="str" cm="1">
        <f t="array" ref="O33">IF(COUNTIF(I33:L33,"High")&gt;0,INDEX({"Performance","Satisfaction","Deadline","After-Hours"},MATCH("High",I33:L33,0)),IF(COUNTIF(I33:L33,"Medium")&gt;0,INDEX({"Performance","Satisfaction","Deadline","After-Hours"},MATCH("Medium",I33:L33,0)),"None"))</f>
        <v>Deadline</v>
      </c>
    </row>
    <row r="34" spans="1:15" x14ac:dyDescent="0.3">
      <c r="A34" t="str">
        <f>Raw_Data!A34</f>
        <v>E033</v>
      </c>
      <c r="B34" t="str">
        <f>Raw_Data!B34</f>
        <v>Nitin Sethi</v>
      </c>
      <c r="C34" t="str">
        <f>Raw_Data!C34</f>
        <v>Marketing</v>
      </c>
      <c r="D34" t="str">
        <f>Raw_Data!E34</f>
        <v>Sep</v>
      </c>
      <c r="E34">
        <f>Raw_Data!F34/Raw_Data!G34</f>
        <v>0.98809523809523814</v>
      </c>
      <c r="F34">
        <f>IFERROR(Raw_Data!I34/Raw_Data!H34,0)</f>
        <v>0.95238095238095233</v>
      </c>
      <c r="G34">
        <f>IFERROR(Raw_Data!J34/Raw_Data!F34,0)</f>
        <v>1.8072289156626505E-2</v>
      </c>
      <c r="H34">
        <f>IFERROR(Raw_Data!K34/Raw_Data!F34,0)</f>
        <v>0.10240963855421686</v>
      </c>
      <c r="I34" t="str">
        <f>IF(Raw_Data!N34&lt;3,"High",IF(Raw_Data!N34&lt;4,"Medium","Low"))</f>
        <v>Low</v>
      </c>
      <c r="J34" t="str">
        <f>IF(Raw_Data!M34&lt;3,"High",IF(Raw_Data!M34&lt;4,"Medium","Low"))</f>
        <v>Low</v>
      </c>
      <c r="K34" t="str">
        <f>IF(Raw_Data!O34&gt;=3,"High",IF(Raw_Data!O34&gt;=1,"Medium","Low"))</f>
        <v>Low</v>
      </c>
      <c r="L34" t="str">
        <f>IF(Raw_Data!P34&gt;=10,"High",IF(Raw_Data!P34&gt;=5,"Medium","Low"))</f>
        <v>Low</v>
      </c>
      <c r="M34">
        <f t="shared" si="0"/>
        <v>0.4121916236374068</v>
      </c>
      <c r="N34" t="str">
        <f t="shared" si="1"/>
        <v>Medium</v>
      </c>
      <c r="O34" t="str" cm="1">
        <f t="array" ref="O34">IF(COUNTIF(I34:L34,"High")&gt;0,INDEX({"Performance","Satisfaction","Deadline","After-Hours"},MATCH("High",I34:L34,0)),IF(COUNTIF(I34:L34,"Medium")&gt;0,INDEX({"Performance","Satisfaction","Deadline","After-Hours"},MATCH("Medium",I34:L34,0)),"None"))</f>
        <v>None</v>
      </c>
    </row>
    <row r="35" spans="1:15" x14ac:dyDescent="0.3">
      <c r="A35" t="str">
        <f>Raw_Data!A35</f>
        <v>E034</v>
      </c>
      <c r="B35" t="str">
        <f>Raw_Data!B35</f>
        <v>Aditi Sethi</v>
      </c>
      <c r="C35" t="str">
        <f>Raw_Data!C35</f>
        <v>Human Resources</v>
      </c>
      <c r="D35" t="str">
        <f>Raw_Data!E35</f>
        <v>Oct</v>
      </c>
      <c r="E35">
        <f>Raw_Data!F35/Raw_Data!G35</f>
        <v>1.0595238095238095</v>
      </c>
      <c r="F35">
        <f>IFERROR(Raw_Data!I35/Raw_Data!H35,0)</f>
        <v>0.92</v>
      </c>
      <c r="G35">
        <f>IFERROR(Raw_Data!J35/Raw_Data!F35,0)</f>
        <v>5.6179775280898875E-2</v>
      </c>
      <c r="H35">
        <f>IFERROR(Raw_Data!K35/Raw_Data!F35,0)</f>
        <v>0.1404494382022472</v>
      </c>
      <c r="I35" t="str">
        <f>IF(Raw_Data!N35&lt;3,"High",IF(Raw_Data!N35&lt;4,"Medium","Low"))</f>
        <v>Low</v>
      </c>
      <c r="J35" t="str">
        <f>IF(Raw_Data!M35&lt;3,"High",IF(Raw_Data!M35&lt;4,"Medium","Low"))</f>
        <v>Low</v>
      </c>
      <c r="K35" t="str">
        <f>IF(Raw_Data!O35&gt;=3,"High",IF(Raw_Data!O35&gt;=1,"Medium","Low"))</f>
        <v>Medium</v>
      </c>
      <c r="L35" t="str">
        <f>IF(Raw_Data!P35&gt;=10,"High",IF(Raw_Data!P35&gt;=5,"Medium","Low"))</f>
        <v>Medium</v>
      </c>
      <c r="M35">
        <f t="shared" si="0"/>
        <v>0.43523060460139124</v>
      </c>
      <c r="N35" t="str">
        <f t="shared" si="1"/>
        <v>Medium</v>
      </c>
      <c r="O35" t="str" cm="1">
        <f t="array" ref="O35">IF(COUNTIF(I35:L35,"High")&gt;0,INDEX({"Performance","Satisfaction","Deadline","After-Hours"},MATCH("High",I35:L35,0)),IF(COUNTIF(I35:L35,"Medium")&gt;0,INDEX({"Performance","Satisfaction","Deadline","After-Hours"},MATCH("Medium",I35:L35,0)),"None"))</f>
        <v>Deadline</v>
      </c>
    </row>
    <row r="36" spans="1:15" x14ac:dyDescent="0.3">
      <c r="A36" t="str">
        <f>Raw_Data!A36</f>
        <v>E035</v>
      </c>
      <c r="B36" t="str">
        <f>Raw_Data!B36</f>
        <v>Rishab Verma</v>
      </c>
      <c r="C36" t="str">
        <f>Raw_Data!C36</f>
        <v>Operations</v>
      </c>
      <c r="D36" t="str">
        <f>Raw_Data!E36</f>
        <v>Nov</v>
      </c>
      <c r="E36">
        <f>Raw_Data!F36/Raw_Data!G36</f>
        <v>1.1011904761904763</v>
      </c>
      <c r="F36">
        <f>IFERROR(Raw_Data!I36/Raw_Data!H36,0)</f>
        <v>0.91228070175438591</v>
      </c>
      <c r="G36">
        <f>IFERROR(Raw_Data!J36/Raw_Data!F36,0)</f>
        <v>9.7297297297297303E-2</v>
      </c>
      <c r="H36">
        <f>IFERROR(Raw_Data!K36/Raw_Data!F36,0)</f>
        <v>0.15675675675675677</v>
      </c>
      <c r="I36" t="str">
        <f>IF(Raw_Data!N36&lt;3,"High",IF(Raw_Data!N36&lt;4,"Medium","Low"))</f>
        <v>Low</v>
      </c>
      <c r="J36" t="str">
        <f>IF(Raw_Data!M36&lt;3,"High",IF(Raw_Data!M36&lt;4,"Medium","Low"))</f>
        <v>Low</v>
      </c>
      <c r="K36" t="str">
        <f>IF(Raw_Data!O36&gt;=3,"High",IF(Raw_Data!O36&gt;=1,"Medium","Low"))</f>
        <v>High</v>
      </c>
      <c r="L36" t="str">
        <f>IF(Raw_Data!P36&gt;=10,"High",IF(Raw_Data!P36&gt;=5,"Medium","Low"))</f>
        <v>High</v>
      </c>
      <c r="M36">
        <f t="shared" si="0"/>
        <v>0.45350504639978328</v>
      </c>
      <c r="N36" t="str">
        <f t="shared" si="1"/>
        <v>Medium</v>
      </c>
      <c r="O36" t="str" cm="1">
        <f t="array" ref="O36">IF(COUNTIF(I36:L36,"High")&gt;0,INDEX({"Performance","Satisfaction","Deadline","After-Hours"},MATCH("High",I36:L36,0)),IF(COUNTIF(I36:L36,"Medium")&gt;0,INDEX({"Performance","Satisfaction","Deadline","After-Hours"},MATCH("Medium",I36:L36,0)),"None"))</f>
        <v>Deadline</v>
      </c>
    </row>
    <row r="37" spans="1:15" x14ac:dyDescent="0.3">
      <c r="A37" t="str">
        <f>Raw_Data!A37</f>
        <v>E036</v>
      </c>
      <c r="B37" t="str">
        <f>Raw_Data!B37</f>
        <v>Palak Bansal</v>
      </c>
      <c r="C37" t="str">
        <f>Raw_Data!C37</f>
        <v>Sales</v>
      </c>
      <c r="D37" t="str">
        <f>Raw_Data!E37</f>
        <v>Dec</v>
      </c>
      <c r="E37">
        <f>Raw_Data!F37/Raw_Data!G37</f>
        <v>1.0238095238095237</v>
      </c>
      <c r="F37">
        <f>IFERROR(Raw_Data!I37/Raw_Data!H37,0)</f>
        <v>0.93333333333333335</v>
      </c>
      <c r="G37">
        <f>IFERROR(Raw_Data!J37/Raw_Data!F37,0)</f>
        <v>2.9069767441860465E-2</v>
      </c>
      <c r="H37">
        <f>IFERROR(Raw_Data!K37/Raw_Data!F37,0)</f>
        <v>0.11627906976744186</v>
      </c>
      <c r="I37" t="str">
        <f>IF(Raw_Data!N37&lt;3,"High",IF(Raw_Data!N37&lt;4,"Medium","Low"))</f>
        <v>Low</v>
      </c>
      <c r="J37" t="str">
        <f>IF(Raw_Data!M37&lt;3,"High",IF(Raw_Data!M37&lt;4,"Medium","Low"))</f>
        <v>Low</v>
      </c>
      <c r="K37" t="str">
        <f>IF(Raw_Data!O37&gt;=3,"High",IF(Raw_Data!O37&gt;=1,"Medium","Low"))</f>
        <v>Medium</v>
      </c>
      <c r="L37" t="str">
        <f>IF(Raw_Data!P37&gt;=10,"High",IF(Raw_Data!P37&gt;=5,"Medium","Low"))</f>
        <v>Medium</v>
      </c>
      <c r="M37">
        <f t="shared" si="0"/>
        <v>0.42049833887043192</v>
      </c>
      <c r="N37" t="str">
        <f t="shared" si="1"/>
        <v>Medium</v>
      </c>
      <c r="O37" t="str" cm="1">
        <f t="array" ref="O37">IF(COUNTIF(I37:L37,"High")&gt;0,INDEX({"Performance","Satisfaction","Deadline","After-Hours"},MATCH("High",I37:L37,0)),IF(COUNTIF(I37:L37,"Medium")&gt;0,INDEX({"Performance","Satisfaction","Deadline","After-Hours"},MATCH("Medium",I37:L37,0)),"None"))</f>
        <v>Deadline</v>
      </c>
    </row>
    <row r="38" spans="1:15" x14ac:dyDescent="0.3">
      <c r="A38" t="str">
        <f>Raw_Data!A38</f>
        <v>E037</v>
      </c>
      <c r="B38" t="str">
        <f>Raw_Data!B38</f>
        <v>Ayush Malhotra</v>
      </c>
      <c r="C38" t="str">
        <f>Raw_Data!C38</f>
        <v>IT</v>
      </c>
      <c r="D38" t="str">
        <f>Raw_Data!E38</f>
        <v>Jan</v>
      </c>
      <c r="E38">
        <f>Raw_Data!F38/Raw_Data!G38</f>
        <v>1.1547619047619047</v>
      </c>
      <c r="F38">
        <f>IFERROR(Raw_Data!I38/Raw_Data!H38,0)</f>
        <v>0.81690140845070425</v>
      </c>
      <c r="G38">
        <f>IFERROR(Raw_Data!J38/Raw_Data!F38,0)</f>
        <v>0.15463917525773196</v>
      </c>
      <c r="H38">
        <f>IFERROR(Raw_Data!K38/Raw_Data!F38,0)</f>
        <v>0.19587628865979381</v>
      </c>
      <c r="I38" t="str">
        <f>IF(Raw_Data!N38&lt;3,"High",IF(Raw_Data!N38&lt;4,"Medium","Low"))</f>
        <v>Low</v>
      </c>
      <c r="J38" t="str">
        <f>IF(Raw_Data!M38&lt;3,"High",IF(Raw_Data!M38&lt;4,"Medium","Low"))</f>
        <v>High</v>
      </c>
      <c r="K38" t="str">
        <f>IF(Raw_Data!O38&gt;=3,"High",IF(Raw_Data!O38&gt;=1,"Medium","Low"))</f>
        <v>High</v>
      </c>
      <c r="L38" t="str">
        <f>IF(Raw_Data!P38&gt;=10,"High",IF(Raw_Data!P38&gt;=5,"Medium","Low"))</f>
        <v>High</v>
      </c>
      <c r="M38">
        <f t="shared" si="0"/>
        <v>0.46443575542602689</v>
      </c>
      <c r="N38" t="str">
        <f t="shared" si="1"/>
        <v>Medium</v>
      </c>
      <c r="O38" t="str" cm="1">
        <f t="array" ref="O38">IF(COUNTIF(I38:L38,"High")&gt;0,INDEX({"Performance","Satisfaction","Deadline","After-Hours"},MATCH("High",I38:L38,0)),IF(COUNTIF(I38:L38,"Medium")&gt;0,INDEX({"Performance","Satisfaction","Deadline","After-Hours"},MATCH("Medium",I38:L38,0)),"None"))</f>
        <v>Satisfaction</v>
      </c>
    </row>
    <row r="39" spans="1:15" x14ac:dyDescent="0.3">
      <c r="A39" t="str">
        <f>Raw_Data!A39</f>
        <v>E038</v>
      </c>
      <c r="B39" t="str">
        <f>Raw_Data!B39</f>
        <v>Sakshi Arora</v>
      </c>
      <c r="C39" t="str">
        <f>Raw_Data!C39</f>
        <v>Finance</v>
      </c>
      <c r="D39" t="str">
        <f>Raw_Data!E39</f>
        <v>Feb</v>
      </c>
      <c r="E39">
        <f>Raw_Data!F39/Raw_Data!G39</f>
        <v>1.0059523809523809</v>
      </c>
      <c r="F39">
        <f>IFERROR(Raw_Data!I39/Raw_Data!H39,0)</f>
        <v>0.93181818181818177</v>
      </c>
      <c r="G39">
        <f>IFERROR(Raw_Data!J39/Raw_Data!F39,0)</f>
        <v>2.3668639053254437E-2</v>
      </c>
      <c r="H39">
        <f>IFERROR(Raw_Data!K39/Raw_Data!F39,0)</f>
        <v>0.10650887573964497</v>
      </c>
      <c r="I39" t="str">
        <f>IF(Raw_Data!N39&lt;3,"High",IF(Raw_Data!N39&lt;4,"Medium","Low"))</f>
        <v>Low</v>
      </c>
      <c r="J39" t="str">
        <f>IF(Raw_Data!M39&lt;3,"High",IF(Raw_Data!M39&lt;4,"Medium","Low"))</f>
        <v>Low</v>
      </c>
      <c r="K39" t="str">
        <f>IF(Raw_Data!O39&gt;=3,"High",IF(Raw_Data!O39&gt;=1,"Medium","Low"))</f>
        <v>Low</v>
      </c>
      <c r="L39" t="str">
        <f>IF(Raw_Data!P39&gt;=10,"High",IF(Raw_Data!P39&gt;=5,"Medium","Low"))</f>
        <v>Low</v>
      </c>
      <c r="M39">
        <f t="shared" si="0"/>
        <v>0.41358961551269247</v>
      </c>
      <c r="N39" t="str">
        <f t="shared" si="1"/>
        <v>Medium</v>
      </c>
      <c r="O39" t="str" cm="1">
        <f t="array" ref="O39">IF(COUNTIF(I39:L39,"High")&gt;0,INDEX({"Performance","Satisfaction","Deadline","After-Hours"},MATCH("High",I39:L39,0)),IF(COUNTIF(I39:L39,"Medium")&gt;0,INDEX({"Performance","Satisfaction","Deadline","After-Hours"},MATCH("Medium",I39:L39,0)),"None"))</f>
        <v>None</v>
      </c>
    </row>
    <row r="40" spans="1:15" x14ac:dyDescent="0.3">
      <c r="A40" t="str">
        <f>Raw_Data!A40</f>
        <v>E039</v>
      </c>
      <c r="B40" t="str">
        <f>Raw_Data!B40</f>
        <v>Rajat Mehta</v>
      </c>
      <c r="C40" t="str">
        <f>Raw_Data!C40</f>
        <v>Marketing</v>
      </c>
      <c r="D40" t="str">
        <f>Raw_Data!E40</f>
        <v>Mar</v>
      </c>
      <c r="E40">
        <f>Raw_Data!F40/Raw_Data!G40</f>
        <v>1.0773809523809523</v>
      </c>
      <c r="F40">
        <f>IFERROR(Raw_Data!I40/Raw_Data!H40,0)</f>
        <v>0.91379310344827591</v>
      </c>
      <c r="G40">
        <f>IFERROR(Raw_Data!J40/Raw_Data!F40,0)</f>
        <v>8.8397790055248615E-2</v>
      </c>
      <c r="H40">
        <f>IFERROR(Raw_Data!K40/Raw_Data!F40,0)</f>
        <v>0.14917127071823205</v>
      </c>
      <c r="I40" t="str">
        <f>IF(Raw_Data!N40&lt;3,"High",IF(Raw_Data!N40&lt;4,"Medium","Low"))</f>
        <v>Low</v>
      </c>
      <c r="J40" t="str">
        <f>IF(Raw_Data!M40&lt;3,"High",IF(Raw_Data!M40&lt;4,"Medium","Low"))</f>
        <v>Low</v>
      </c>
      <c r="K40" t="str">
        <f>IF(Raw_Data!O40&gt;=3,"High",IF(Raw_Data!O40&gt;=1,"Medium","Low"))</f>
        <v>High</v>
      </c>
      <c r="L40" t="str">
        <f>IF(Raw_Data!P40&gt;=10,"High",IF(Raw_Data!P40&gt;=5,"Medium","Low"))</f>
        <v>High</v>
      </c>
      <c r="M40">
        <f t="shared" si="0"/>
        <v>0.44574862332054183</v>
      </c>
      <c r="N40" t="str">
        <f t="shared" si="1"/>
        <v>Medium</v>
      </c>
      <c r="O40" t="str" cm="1">
        <f t="array" ref="O40">IF(COUNTIF(I40:L40,"High")&gt;0,INDEX({"Performance","Satisfaction","Deadline","After-Hours"},MATCH("High",I40:L40,0)),IF(COUNTIF(I40:L40,"Medium")&gt;0,INDEX({"Performance","Satisfaction","Deadline","After-Hours"},MATCH("Medium",I40:L40,0)),"None"))</f>
        <v>Deadline</v>
      </c>
    </row>
    <row r="41" spans="1:15" x14ac:dyDescent="0.3">
      <c r="A41" t="str">
        <f>Raw_Data!A41</f>
        <v>E040</v>
      </c>
      <c r="B41" t="str">
        <f>Raw_Data!B41</f>
        <v>Navya Singh</v>
      </c>
      <c r="C41" t="str">
        <f>Raw_Data!C41</f>
        <v>Human Resources</v>
      </c>
      <c r="D41" t="str">
        <f>Raw_Data!E41</f>
        <v>Apr</v>
      </c>
      <c r="E41">
        <f>Raw_Data!F41/Raw_Data!G41</f>
        <v>1.0476190476190477</v>
      </c>
      <c r="F41">
        <f>IFERROR(Raw_Data!I41/Raw_Data!H41,0)</f>
        <v>0.92307692307692313</v>
      </c>
      <c r="G41">
        <f>IFERROR(Raw_Data!J41/Raw_Data!F41,0)</f>
        <v>6.25E-2</v>
      </c>
      <c r="H41">
        <f>IFERROR(Raw_Data!K41/Raw_Data!F41,0)</f>
        <v>0.13636363636363635</v>
      </c>
      <c r="I41" t="str">
        <f>IF(Raw_Data!N41&lt;3,"High",IF(Raw_Data!N41&lt;4,"Medium","Low"))</f>
        <v>Low</v>
      </c>
      <c r="J41" t="str">
        <f>IF(Raw_Data!M41&lt;3,"High",IF(Raw_Data!M41&lt;4,"Medium","Low"))</f>
        <v>Low</v>
      </c>
      <c r="K41" t="str">
        <f>IF(Raw_Data!O41&gt;=3,"High",IF(Raw_Data!O41&gt;=1,"Medium","Low"))</f>
        <v>Medium</v>
      </c>
      <c r="L41" t="str">
        <f>IF(Raw_Data!P41&gt;=10,"High",IF(Raw_Data!P41&gt;=5,"Medium","Low"))</f>
        <v>Medium</v>
      </c>
      <c r="M41">
        <f t="shared" si="0"/>
        <v>0.43391192141192148</v>
      </c>
      <c r="N41" t="str">
        <f t="shared" si="1"/>
        <v>Medium</v>
      </c>
      <c r="O41" t="str" cm="1">
        <f t="array" ref="O41">IF(COUNTIF(I41:L41,"High")&gt;0,INDEX({"Performance","Satisfaction","Deadline","After-Hours"},MATCH("High",I41:L41,0)),IF(COUNTIF(I41:L41,"Medium")&gt;0,INDEX({"Performance","Satisfaction","Deadline","After-Hours"},MATCH("Medium",I41:L41,0)),"None"))</f>
        <v>Deadline</v>
      </c>
    </row>
    <row r="42" spans="1:15" x14ac:dyDescent="0.3">
      <c r="A42" t="str">
        <f>Raw_Data!A42</f>
        <v>E041</v>
      </c>
      <c r="B42" t="str">
        <f>Raw_Data!B42</f>
        <v>Ankit Kapoor</v>
      </c>
      <c r="C42" t="str">
        <f>Raw_Data!C42</f>
        <v>Operations</v>
      </c>
      <c r="D42" t="str">
        <f>Raw_Data!E42</f>
        <v>May</v>
      </c>
      <c r="E42">
        <f>Raw_Data!F42/Raw_Data!G42</f>
        <v>1.1130952380952381</v>
      </c>
      <c r="F42">
        <f>IFERROR(Raw_Data!I42/Raw_Data!H42,0)</f>
        <v>0.88709677419354838</v>
      </c>
      <c r="G42">
        <f>IFERROR(Raw_Data!J42/Raw_Data!F42,0)</f>
        <v>0.10160427807486631</v>
      </c>
      <c r="H42">
        <f>IFERROR(Raw_Data!K42/Raw_Data!F42,0)</f>
        <v>0.16577540106951871</v>
      </c>
      <c r="I42" t="str">
        <f>IF(Raw_Data!N42&lt;3,"High",IF(Raw_Data!N42&lt;4,"Medium","Low"))</f>
        <v>Low</v>
      </c>
      <c r="J42" t="str">
        <f>IF(Raw_Data!M42&lt;3,"High",IF(Raw_Data!M42&lt;4,"Medium","Low"))</f>
        <v>Low</v>
      </c>
      <c r="K42" t="str">
        <f>IF(Raw_Data!O42&gt;=3,"High",IF(Raw_Data!O42&gt;=1,"Medium","Low"))</f>
        <v>High</v>
      </c>
      <c r="L42" t="str">
        <f>IF(Raw_Data!P42&gt;=10,"High",IF(Raw_Data!P42&gt;=5,"Medium","Low"))</f>
        <v>High</v>
      </c>
      <c r="M42">
        <f t="shared" si="0"/>
        <v>0.45351433828663434</v>
      </c>
      <c r="N42" t="str">
        <f t="shared" si="1"/>
        <v>Medium</v>
      </c>
      <c r="O42" t="str" cm="1">
        <f t="array" ref="O42">IF(COUNTIF(I42:L42,"High")&gt;0,INDEX({"Performance","Satisfaction","Deadline","After-Hours"},MATCH("High",I42:L42,0)),IF(COUNTIF(I42:L42,"Medium")&gt;0,INDEX({"Performance","Satisfaction","Deadline","After-Hours"},MATCH("Medium",I42:L42,0)),"None"))</f>
        <v>Deadline</v>
      </c>
    </row>
    <row r="43" spans="1:15" x14ac:dyDescent="0.3">
      <c r="A43" t="str">
        <f>Raw_Data!A43</f>
        <v>E042</v>
      </c>
      <c r="B43" t="str">
        <f>Raw_Data!B43</f>
        <v>Isha Khanna</v>
      </c>
      <c r="C43" t="str">
        <f>Raw_Data!C43</f>
        <v>Sales</v>
      </c>
      <c r="D43" t="str">
        <f>Raw_Data!E43</f>
        <v>Jun</v>
      </c>
      <c r="E43">
        <f>Raw_Data!F43/Raw_Data!G43</f>
        <v>0.97023809523809523</v>
      </c>
      <c r="F43">
        <f>IFERROR(Raw_Data!I43/Raw_Data!H43,0)</f>
        <v>0.95</v>
      </c>
      <c r="G43">
        <f>IFERROR(Raw_Data!J43/Raw_Data!F43,0)</f>
        <v>1.2269938650306749E-2</v>
      </c>
      <c r="H43">
        <f>IFERROR(Raw_Data!K43/Raw_Data!F43,0)</f>
        <v>9.202453987730061E-2</v>
      </c>
      <c r="I43" t="str">
        <f>IF(Raw_Data!N43&lt;3,"High",IF(Raw_Data!N43&lt;4,"Medium","Low"))</f>
        <v>Low</v>
      </c>
      <c r="J43" t="str">
        <f>IF(Raw_Data!M43&lt;3,"High",IF(Raw_Data!M43&lt;4,"Medium","Low"))</f>
        <v>Low</v>
      </c>
      <c r="K43" t="str">
        <f>IF(Raw_Data!O43&gt;=3,"High",IF(Raw_Data!O43&gt;=1,"Medium","Low"))</f>
        <v>Low</v>
      </c>
      <c r="L43" t="str">
        <f>IF(Raw_Data!P43&gt;=10,"High",IF(Raw_Data!P43&gt;=5,"Medium","Low"))</f>
        <v>Low</v>
      </c>
      <c r="M43">
        <f t="shared" si="0"/>
        <v>0.40490651475314055</v>
      </c>
      <c r="N43" t="str">
        <f t="shared" si="1"/>
        <v>Medium</v>
      </c>
      <c r="O43" t="str" cm="1">
        <f t="array" ref="O43">IF(COUNTIF(I43:L43,"High")&gt;0,INDEX({"Performance","Satisfaction","Deadline","After-Hours"},MATCH("High",I43:L43,0)),IF(COUNTIF(I43:L43,"Medium")&gt;0,INDEX({"Performance","Satisfaction","Deadline","After-Hours"},MATCH("Medium",I43:L43,0)),"None"))</f>
        <v>None</v>
      </c>
    </row>
    <row r="44" spans="1:15" x14ac:dyDescent="0.3">
      <c r="A44" t="str">
        <f>Raw_Data!A44</f>
        <v>E043</v>
      </c>
      <c r="B44" t="str">
        <f>Raw_Data!B44</f>
        <v>Gaurav Sharma</v>
      </c>
      <c r="C44" t="str">
        <f>Raw_Data!C44</f>
        <v>IT</v>
      </c>
      <c r="D44" t="str">
        <f>Raw_Data!E44</f>
        <v>Jul</v>
      </c>
      <c r="E44">
        <f>Raw_Data!F44/Raw_Data!G44</f>
        <v>1.0654761904761905</v>
      </c>
      <c r="F44">
        <f>IFERROR(Raw_Data!I44/Raw_Data!H44,0)</f>
        <v>0.90740740740740744</v>
      </c>
      <c r="G44">
        <f>IFERROR(Raw_Data!J44/Raw_Data!F44,0)</f>
        <v>6.7039106145251395E-2</v>
      </c>
      <c r="H44">
        <f>IFERROR(Raw_Data!K44/Raw_Data!F44,0)</f>
        <v>0.12849162011173185</v>
      </c>
      <c r="I44" t="str">
        <f>IF(Raw_Data!N44&lt;3,"High",IF(Raw_Data!N44&lt;4,"Medium","Low"))</f>
        <v>Low</v>
      </c>
      <c r="J44" t="str">
        <f>IF(Raw_Data!M44&lt;3,"High",IF(Raw_Data!M44&lt;4,"Medium","Low"))</f>
        <v>Low</v>
      </c>
      <c r="K44" t="str">
        <f>IF(Raw_Data!O44&gt;=3,"High",IF(Raw_Data!O44&gt;=1,"Medium","Low"))</f>
        <v>Medium</v>
      </c>
      <c r="L44" t="str">
        <f>IF(Raw_Data!P44&gt;=10,"High",IF(Raw_Data!P44&gt;=5,"Medium","Low"))</f>
        <v>High</v>
      </c>
      <c r="M44">
        <f t="shared" si="0"/>
        <v>0.43368286482811624</v>
      </c>
      <c r="N44" t="str">
        <f t="shared" si="1"/>
        <v>Medium</v>
      </c>
      <c r="O44" t="str" cm="1">
        <f t="array" ref="O44">IF(COUNTIF(I44:L44,"High")&gt;0,INDEX({"Performance","Satisfaction","Deadline","After-Hours"},MATCH("High",I44:L44,0)),IF(COUNTIF(I44:L44,"Medium")&gt;0,INDEX({"Performance","Satisfaction","Deadline","After-Hours"},MATCH("Medium",I44:L44,0)),"None"))</f>
        <v>After-Hours</v>
      </c>
    </row>
    <row r="45" spans="1:15" x14ac:dyDescent="0.3">
      <c r="A45" t="str">
        <f>Raw_Data!A45</f>
        <v>E044</v>
      </c>
      <c r="B45" t="str">
        <f>Raw_Data!B45</f>
        <v>Manya jain</v>
      </c>
      <c r="C45" t="str">
        <f>Raw_Data!C45</f>
        <v>Finance</v>
      </c>
      <c r="D45" t="str">
        <f>Raw_Data!E45</f>
        <v>Aug</v>
      </c>
      <c r="E45">
        <f>Raw_Data!F45/Raw_Data!G45</f>
        <v>1.1369047619047619</v>
      </c>
      <c r="F45">
        <f>IFERROR(Raw_Data!I45/Raw_Data!H45,0)</f>
        <v>0.86363636363636365</v>
      </c>
      <c r="G45">
        <f>IFERROR(Raw_Data!J45/Raw_Data!F45,0)</f>
        <v>0.1256544502617801</v>
      </c>
      <c r="H45">
        <f>IFERROR(Raw_Data!K45/Raw_Data!F45,0)</f>
        <v>0.16753926701570682</v>
      </c>
      <c r="I45" t="str">
        <f>IF(Raw_Data!N45&lt;3,"High",IF(Raw_Data!N45&lt;4,"Medium","Low"))</f>
        <v>Low</v>
      </c>
      <c r="J45" t="str">
        <f>IF(Raw_Data!M45&lt;3,"High",IF(Raw_Data!M45&lt;4,"Medium","Low"))</f>
        <v>Low</v>
      </c>
      <c r="K45" t="str">
        <f>IF(Raw_Data!O45&gt;=3,"High",IF(Raw_Data!O45&gt;=1,"Medium","Low"))</f>
        <v>High</v>
      </c>
      <c r="L45" t="str">
        <f>IF(Raw_Data!P45&gt;=10,"High",IF(Raw_Data!P45&gt;=5,"Medium","Low"))</f>
        <v>High</v>
      </c>
      <c r="M45">
        <f t="shared" si="0"/>
        <v>0.45874696856372249</v>
      </c>
      <c r="N45" t="str">
        <f t="shared" si="1"/>
        <v>Medium</v>
      </c>
      <c r="O45" t="str" cm="1">
        <f t="array" ref="O45">IF(COUNTIF(I45:L45,"High")&gt;0,INDEX({"Performance","Satisfaction","Deadline","After-Hours"},MATCH("High",I45:L45,0)),IF(COUNTIF(I45:L45,"Medium")&gt;0,INDEX({"Performance","Satisfaction","Deadline","After-Hours"},MATCH("Medium",I45:L45,0)),"None"))</f>
        <v>Deadline</v>
      </c>
    </row>
    <row r="46" spans="1:15" x14ac:dyDescent="0.3">
      <c r="A46" t="str">
        <f>Raw_Data!A46</f>
        <v>E045</v>
      </c>
      <c r="B46" t="str">
        <f>Raw_Data!B46</f>
        <v>Vikas Gupta</v>
      </c>
      <c r="C46" t="str">
        <f>Raw_Data!C46</f>
        <v>Marketing</v>
      </c>
      <c r="D46" t="str">
        <f>Raw_Data!E46</f>
        <v>Sep</v>
      </c>
      <c r="E46">
        <f>Raw_Data!F46/Raw_Data!G46</f>
        <v>1.0357142857142858</v>
      </c>
      <c r="F46">
        <f>IFERROR(Raw_Data!I46/Raw_Data!H46,0)</f>
        <v>0.93877551020408168</v>
      </c>
      <c r="G46">
        <f>IFERROR(Raw_Data!J46/Raw_Data!F46,0)</f>
        <v>3.4482758620689655E-2</v>
      </c>
      <c r="H46">
        <f>IFERROR(Raw_Data!K46/Raw_Data!F46,0)</f>
        <v>0.1206896551724138</v>
      </c>
      <c r="I46" t="str">
        <f>IF(Raw_Data!N46&lt;3,"High",IF(Raw_Data!N46&lt;4,"Medium","Low"))</f>
        <v>Low</v>
      </c>
      <c r="J46" t="str">
        <f>IF(Raw_Data!M46&lt;3,"High",IF(Raw_Data!M46&lt;4,"Medium","Low"))</f>
        <v>Low</v>
      </c>
      <c r="K46" t="str">
        <f>IF(Raw_Data!O46&gt;=3,"High",IF(Raw_Data!O46&gt;=1,"Medium","Low"))</f>
        <v>Medium</v>
      </c>
      <c r="L46" t="str">
        <f>IF(Raw_Data!P46&gt;=10,"High",IF(Raw_Data!P46&gt;=5,"Medium","Low"))</f>
        <v>Medium</v>
      </c>
      <c r="M46">
        <f t="shared" si="0"/>
        <v>0.42593244194229424</v>
      </c>
      <c r="N46" t="str">
        <f t="shared" si="1"/>
        <v>Medium</v>
      </c>
      <c r="O46" t="str" cm="1">
        <f t="array" ref="O46">IF(COUNTIF(I46:L46,"High")&gt;0,INDEX({"Performance","Satisfaction","Deadline","After-Hours"},MATCH("High",I46:L46,0)),IF(COUNTIF(I46:L46,"Medium")&gt;0,INDEX({"Performance","Satisfaction","Deadline","After-Hours"},MATCH("Medium",I46:L46,0)),"None"))</f>
        <v>Deadline</v>
      </c>
    </row>
    <row r="47" spans="1:15" x14ac:dyDescent="0.3">
      <c r="A47" t="str">
        <f>Raw_Data!A47</f>
        <v>E046</v>
      </c>
      <c r="B47" t="str">
        <f>Raw_Data!B47</f>
        <v>kriti Verma</v>
      </c>
      <c r="C47" t="str">
        <f>Raw_Data!C47</f>
        <v>Human Resources</v>
      </c>
      <c r="D47" t="str">
        <f>Raw_Data!E47</f>
        <v>Oct</v>
      </c>
      <c r="E47">
        <f>Raw_Data!F47/Raw_Data!G47</f>
        <v>1.1071428571428572</v>
      </c>
      <c r="F47">
        <f>IFERROR(Raw_Data!I47/Raw_Data!H47,0)</f>
        <v>0.8833333333333333</v>
      </c>
      <c r="G47">
        <f>IFERROR(Raw_Data!J47/Raw_Data!F47,0)</f>
        <v>0.10752688172043011</v>
      </c>
      <c r="H47">
        <f>IFERROR(Raw_Data!K47/Raw_Data!F47,0)</f>
        <v>0.16129032258064516</v>
      </c>
      <c r="I47" t="str">
        <f>IF(Raw_Data!N47&lt;3,"High",IF(Raw_Data!N47&lt;4,"Medium","Low"))</f>
        <v>Low</v>
      </c>
      <c r="J47" t="str">
        <f>IF(Raw_Data!M47&lt;3,"High",IF(Raw_Data!M47&lt;4,"Medium","Low"))</f>
        <v>Low</v>
      </c>
      <c r="K47" t="str">
        <f>IF(Raw_Data!O47&gt;=3,"High",IF(Raw_Data!O47&gt;=1,"Medium","Low"))</f>
        <v>High</v>
      </c>
      <c r="L47" t="str">
        <f>IF(Raw_Data!P47&gt;=10,"High",IF(Raw_Data!P47&gt;=5,"Medium","Low"))</f>
        <v>High</v>
      </c>
      <c r="M47">
        <f t="shared" si="0"/>
        <v>0.45185867895545317</v>
      </c>
      <c r="N47" t="str">
        <f t="shared" si="1"/>
        <v>Medium</v>
      </c>
      <c r="O47" t="str" cm="1">
        <f t="array" ref="O47">IF(COUNTIF(I47:L47,"High")&gt;0,INDEX({"Performance","Satisfaction","Deadline","After-Hours"},MATCH("High",I47:L47,0)),IF(COUNTIF(I47:L47,"Medium")&gt;0,INDEX({"Performance","Satisfaction","Deadline","After-Hours"},MATCH("Medium",I47:L47,0)),"None"))</f>
        <v>Deadline</v>
      </c>
    </row>
    <row r="48" spans="1:15" x14ac:dyDescent="0.3">
      <c r="A48" t="str">
        <f>Raw_Data!A48</f>
        <v>E047</v>
      </c>
      <c r="B48" t="str">
        <f>Raw_Data!B48</f>
        <v>Saurabh Bhatia</v>
      </c>
      <c r="C48" t="str">
        <f>Raw_Data!C48</f>
        <v>Operations</v>
      </c>
      <c r="D48" t="str">
        <f>Raw_Data!E48</f>
        <v>Nov</v>
      </c>
      <c r="E48">
        <f>Raw_Data!F48/Raw_Data!G48</f>
        <v>1.0119047619047619</v>
      </c>
      <c r="F48">
        <f>IFERROR(Raw_Data!I48/Raw_Data!H48,0)</f>
        <v>0.95652173913043481</v>
      </c>
      <c r="G48">
        <f>IFERROR(Raw_Data!J48/Raw_Data!F48,0)</f>
        <v>2.9411764705882353E-2</v>
      </c>
      <c r="H48">
        <f>IFERROR(Raw_Data!K48/Raw_Data!F48,0)</f>
        <v>0.11176470588235295</v>
      </c>
      <c r="I48" t="str">
        <f>IF(Raw_Data!N48&lt;3,"High",IF(Raw_Data!N48&lt;4,"Medium","Low"))</f>
        <v>Low</v>
      </c>
      <c r="J48" t="str">
        <f>IF(Raw_Data!M48&lt;3,"High",IF(Raw_Data!M48&lt;4,"Medium","Low"))</f>
        <v>Low</v>
      </c>
      <c r="K48" t="str">
        <f>IF(Raw_Data!O48&gt;=3,"High",IF(Raw_Data!O48&gt;=1,"Medium","Low"))</f>
        <v>Medium</v>
      </c>
      <c r="L48" t="str">
        <f>IF(Raw_Data!P48&gt;=10,"High",IF(Raw_Data!P48&gt;=5,"Medium","Low"))</f>
        <v>Medium</v>
      </c>
      <c r="M48">
        <f t="shared" si="0"/>
        <v>0.42192059432468637</v>
      </c>
      <c r="N48" t="str">
        <f t="shared" si="1"/>
        <v>Medium</v>
      </c>
      <c r="O48" t="str" cm="1">
        <f t="array" ref="O48">IF(COUNTIF(I48:L48,"High")&gt;0,INDEX({"Performance","Satisfaction","Deadline","After-Hours"},MATCH("High",I48:L48,0)),IF(COUNTIF(I48:L48,"Medium")&gt;0,INDEX({"Performance","Satisfaction","Deadline","After-Hours"},MATCH("Medium",I48:L48,0)),"None"))</f>
        <v>Deadline</v>
      </c>
    </row>
    <row r="49" spans="1:15" x14ac:dyDescent="0.3">
      <c r="A49" t="str">
        <f>Raw_Data!A49</f>
        <v>E048</v>
      </c>
      <c r="B49" t="str">
        <f>Raw_Data!B49</f>
        <v>Rhea Arora</v>
      </c>
      <c r="C49" t="str">
        <f>Raw_Data!C49</f>
        <v>Sales</v>
      </c>
      <c r="D49" t="str">
        <f>Raw_Data!E49</f>
        <v>Dec</v>
      </c>
      <c r="E49">
        <f>Raw_Data!F49/Raw_Data!G49</f>
        <v>1.0833333333333333</v>
      </c>
      <c r="F49">
        <f>IFERROR(Raw_Data!I49/Raw_Data!H49,0)</f>
        <v>0.8771929824561403</v>
      </c>
      <c r="G49">
        <f>IFERROR(Raw_Data!J49/Raw_Data!F49,0)</f>
        <v>8.2417582417582416E-2</v>
      </c>
      <c r="H49">
        <f>IFERROR(Raw_Data!K49/Raw_Data!F49,0)</f>
        <v>0.14285714285714285</v>
      </c>
      <c r="I49" t="str">
        <f>IF(Raw_Data!N49&lt;3,"High",IF(Raw_Data!N49&lt;4,"Medium","Low"))</f>
        <v>Low</v>
      </c>
      <c r="J49" t="str">
        <f>IF(Raw_Data!M49&lt;3,"High",IF(Raw_Data!M49&lt;4,"Medium","Low"))</f>
        <v>Low</v>
      </c>
      <c r="K49" t="str">
        <f>IF(Raw_Data!O49&gt;=3,"High",IF(Raw_Data!O49&gt;=1,"Medium","Low"))</f>
        <v>High</v>
      </c>
      <c r="L49" t="str">
        <f>IF(Raw_Data!P49&gt;=10,"High",IF(Raw_Data!P49&gt;=5,"Medium","Low"))</f>
        <v>High</v>
      </c>
      <c r="M49">
        <f t="shared" si="0"/>
        <v>0.4371602082128398</v>
      </c>
      <c r="N49" t="str">
        <f t="shared" si="1"/>
        <v>Medium</v>
      </c>
      <c r="O49" t="str" cm="1">
        <f t="array" ref="O49">IF(COUNTIF(I49:L49,"High")&gt;0,INDEX({"Performance","Satisfaction","Deadline","After-Hours"},MATCH("High",I49:L49,0)),IF(COUNTIF(I49:L49,"Medium")&gt;0,INDEX({"Performance","Satisfaction","Deadline","After-Hours"},MATCH("Medium",I49:L49,0)),"None"))</f>
        <v>Deadline</v>
      </c>
    </row>
    <row r="50" spans="1:15" x14ac:dyDescent="0.3">
      <c r="A50" t="str">
        <f>Raw_Data!A50</f>
        <v>E049</v>
      </c>
      <c r="B50" t="str">
        <f>Raw_Data!B50</f>
        <v>Akash Mehta</v>
      </c>
      <c r="C50" t="str">
        <f>Raw_Data!C50</f>
        <v>IT</v>
      </c>
      <c r="D50" t="str">
        <f>Raw_Data!E50</f>
        <v>Jan</v>
      </c>
      <c r="E50">
        <f>Raw_Data!F50/Raw_Data!G50</f>
        <v>1.0535714285714286</v>
      </c>
      <c r="F50">
        <f>IFERROR(Raw_Data!I50/Raw_Data!H50,0)</f>
        <v>0.8867924528301887</v>
      </c>
      <c r="G50">
        <f>IFERROR(Raw_Data!J50/Raw_Data!F50,0)</f>
        <v>5.0847457627118647E-2</v>
      </c>
      <c r="H50">
        <f>IFERROR(Raw_Data!K50/Raw_Data!F50,0)</f>
        <v>0.12429378531073447</v>
      </c>
      <c r="I50" t="str">
        <f>IF(Raw_Data!N50&lt;3,"High",IF(Raw_Data!N50&lt;4,"Medium","Low"))</f>
        <v>Low</v>
      </c>
      <c r="J50" t="str">
        <f>IF(Raw_Data!M50&lt;3,"High",IF(Raw_Data!M50&lt;4,"Medium","Low"))</f>
        <v>Low</v>
      </c>
      <c r="K50" t="str">
        <f>IF(Raw_Data!O50&gt;=3,"High",IF(Raw_Data!O50&gt;=1,"Medium","Low"))</f>
        <v>Medium</v>
      </c>
      <c r="L50" t="str">
        <f>IF(Raw_Data!P50&gt;=10,"High",IF(Raw_Data!P50&gt;=5,"Medium","Low"))</f>
        <v>Medium</v>
      </c>
      <c r="M50">
        <f t="shared" si="0"/>
        <v>0.42310102486789414</v>
      </c>
      <c r="N50" t="str">
        <f t="shared" si="1"/>
        <v>Medium</v>
      </c>
      <c r="O50" t="str" cm="1">
        <f t="array" ref="O50">IF(COUNTIF(I50:L50,"High")&gt;0,INDEX({"Performance","Satisfaction","Deadline","After-Hours"},MATCH("High",I50:L50,0)),IF(COUNTIF(I50:L50,"Medium")&gt;0,INDEX({"Performance","Satisfaction","Deadline","After-Hours"},MATCH("Medium",I50:L50,0)),"None"))</f>
        <v>Deadline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0F4D9-6FF4-465F-9EE7-5C9FF5AED8C1}">
  <dimension ref="A1:K163"/>
  <sheetViews>
    <sheetView tabSelected="1" topLeftCell="A2" workbookViewId="0">
      <selection activeCell="B157" sqref="B157"/>
    </sheetView>
  </sheetViews>
  <sheetFormatPr defaultRowHeight="14.4" x14ac:dyDescent="0.3"/>
  <cols>
    <col min="1" max="1" width="25.88671875" bestFit="1" customWidth="1"/>
    <col min="2" max="2" width="17.44140625" customWidth="1"/>
    <col min="3" max="3" width="12.88671875" customWidth="1"/>
    <col min="4" max="4" width="25.5546875" bestFit="1" customWidth="1"/>
    <col min="5" max="5" width="33.21875" customWidth="1"/>
    <col min="6" max="6" width="15.6640625" bestFit="1" customWidth="1"/>
    <col min="7" max="7" width="21.88671875" bestFit="1" customWidth="1"/>
    <col min="8" max="8" width="16.5546875" customWidth="1"/>
    <col min="10" max="10" width="18.77734375" bestFit="1" customWidth="1"/>
    <col min="11" max="11" width="14.88671875" customWidth="1"/>
  </cols>
  <sheetData>
    <row r="1" spans="1:11" ht="40.200000000000003" customHeight="1" thickBot="1" x14ac:dyDescent="0.6">
      <c r="D1" s="10"/>
      <c r="E1" s="11" t="s">
        <v>167</v>
      </c>
      <c r="F1" s="11"/>
      <c r="G1" s="12"/>
    </row>
    <row r="2" spans="1:11" ht="20.399999999999999" customHeight="1" thickTop="1" thickBot="1" x14ac:dyDescent="0.45">
      <c r="D2" s="14"/>
      <c r="E2" s="15" t="s">
        <v>168</v>
      </c>
      <c r="F2" s="15"/>
      <c r="G2" s="16"/>
    </row>
    <row r="3" spans="1:11" ht="27" customHeight="1" thickTop="1" x14ac:dyDescent="0.3"/>
    <row r="5" spans="1:11" ht="27" customHeight="1" x14ac:dyDescent="0.45">
      <c r="E5" s="13" t="s">
        <v>169</v>
      </c>
      <c r="F5" s="13"/>
      <c r="G5" s="13"/>
    </row>
    <row r="7" spans="1:11" ht="27" customHeight="1" x14ac:dyDescent="0.6">
      <c r="A7" s="2" t="s">
        <v>162</v>
      </c>
      <c r="B7" s="3">
        <f>COUNTIF(Calculations!N:N,"High")</f>
        <v>0</v>
      </c>
      <c r="D7" s="4" t="s">
        <v>163</v>
      </c>
      <c r="E7" s="5">
        <f>COUNTIF(Calculations!N:N,"Medium")</f>
        <v>49</v>
      </c>
      <c r="G7" s="6" t="s">
        <v>164</v>
      </c>
      <c r="H7" s="7">
        <f>COUNTIF(Calculations!N:N,"Low")</f>
        <v>0</v>
      </c>
      <c r="J7" s="8" t="s">
        <v>165</v>
      </c>
      <c r="K7" s="9">
        <f>COUNTA(Raw_Data!A:A)-1</f>
        <v>49</v>
      </c>
    </row>
    <row r="9" spans="1:11" s="1" customFormat="1" ht="27" customHeight="1" thickBot="1" x14ac:dyDescent="0.35">
      <c r="D9" s="19" t="s">
        <v>166</v>
      </c>
      <c r="E9" s="20"/>
    </row>
    <row r="10" spans="1:11" ht="15" thickTop="1" x14ac:dyDescent="0.3"/>
    <row r="11" spans="1:11" x14ac:dyDescent="0.3">
      <c r="D11" s="21" t="s">
        <v>170</v>
      </c>
      <c r="E11" s="21" t="s">
        <v>171</v>
      </c>
    </row>
    <row r="12" spans="1:11" x14ac:dyDescent="0.3">
      <c r="D12" s="22" t="s">
        <v>172</v>
      </c>
      <c r="E12" s="22">
        <f>COUNTIF(Calculations!G:G,"&gt;=0.1")</f>
        <v>11</v>
      </c>
    </row>
    <row r="13" spans="1:11" x14ac:dyDescent="0.3">
      <c r="D13" t="s">
        <v>173</v>
      </c>
      <c r="E13">
        <f>COUNTIF(Calculations!H:H,"&gt;=0.15")</f>
        <v>16</v>
      </c>
    </row>
    <row r="14" spans="1:11" x14ac:dyDescent="0.3">
      <c r="D14" s="17" t="s">
        <v>174</v>
      </c>
      <c r="E14" s="17">
        <f>COUNTIF(Calculations!O:O,"Performance")</f>
        <v>0</v>
      </c>
    </row>
    <row r="15" spans="1:11" x14ac:dyDescent="0.3">
      <c r="D15" t="s">
        <v>175</v>
      </c>
      <c r="E15">
        <f>COUNTIF(Calculations!O:O,"Satisfaction")</f>
        <v>1</v>
      </c>
    </row>
    <row r="16" spans="1:11" x14ac:dyDescent="0.3">
      <c r="D16" s="17" t="s">
        <v>176</v>
      </c>
      <c r="E16" s="17">
        <f>COUNTIF(Calculations!O:O,"Deadline")</f>
        <v>38</v>
      </c>
    </row>
    <row r="17" spans="4:5" x14ac:dyDescent="0.3">
      <c r="D17" s="18" t="s">
        <v>177</v>
      </c>
      <c r="E17" s="18">
        <f>COUNTIF(Calculations!O:O,"After-Hours")</f>
        <v>3</v>
      </c>
    </row>
    <row r="22" spans="4:5" ht="23.4" x14ac:dyDescent="0.45">
      <c r="D22" s="13" t="s">
        <v>178</v>
      </c>
    </row>
    <row r="24" spans="4:5" x14ac:dyDescent="0.3">
      <c r="D24" t="s">
        <v>179</v>
      </c>
      <c r="E24" t="s">
        <v>180</v>
      </c>
    </row>
    <row r="25" spans="4:5" x14ac:dyDescent="0.3">
      <c r="D25" t="s">
        <v>181</v>
      </c>
      <c r="E25">
        <f>COUNTIF(Calculations!N:N,"High")</f>
        <v>0</v>
      </c>
    </row>
    <row r="26" spans="4:5" x14ac:dyDescent="0.3">
      <c r="D26" t="s">
        <v>182</v>
      </c>
      <c r="E26">
        <f>COUNTIF(Calculations!N:N,"Medium")</f>
        <v>49</v>
      </c>
    </row>
    <row r="27" spans="4:5" x14ac:dyDescent="0.3">
      <c r="D27" t="s">
        <v>183</v>
      </c>
      <c r="E27">
        <f>COUNTIF(Calculations!N:N,"Low")</f>
        <v>0</v>
      </c>
    </row>
    <row r="35" spans="4:6" ht="23.4" x14ac:dyDescent="0.45">
      <c r="D35" s="13" t="s">
        <v>184</v>
      </c>
    </row>
    <row r="37" spans="4:6" x14ac:dyDescent="0.3">
      <c r="D37" t="s">
        <v>185</v>
      </c>
      <c r="E37" t="s">
        <v>186</v>
      </c>
    </row>
    <row r="38" spans="4:6" x14ac:dyDescent="0.3">
      <c r="D38" t="s">
        <v>187</v>
      </c>
      <c r="E38">
        <f>AVERAGE(Raw_Data!F:F)</f>
        <v>177.61224489795919</v>
      </c>
    </row>
    <row r="39" spans="4:6" x14ac:dyDescent="0.3">
      <c r="D39" t="s">
        <v>188</v>
      </c>
      <c r="E39">
        <f>AVERAGE(Raw_Data!J:J)</f>
        <v>12.081632653061224</v>
      </c>
    </row>
    <row r="40" spans="4:6" x14ac:dyDescent="0.3">
      <c r="D40" t="s">
        <v>189</v>
      </c>
      <c r="E40">
        <f>AVERAGE(Raw_Data!K:K)</f>
        <v>24.26530612244898</v>
      </c>
    </row>
    <row r="41" spans="4:6" x14ac:dyDescent="0.3">
      <c r="D41" t="s">
        <v>190</v>
      </c>
      <c r="E41">
        <f>AVERAGE(Calculations!F:F)</f>
        <v>0.91103026500163842</v>
      </c>
    </row>
    <row r="43" spans="4:6" x14ac:dyDescent="0.3">
      <c r="D43" t="s">
        <v>187</v>
      </c>
      <c r="E43" t="s">
        <v>188</v>
      </c>
      <c r="F43" t="s">
        <v>189</v>
      </c>
    </row>
    <row r="44" spans="4:6" x14ac:dyDescent="0.3">
      <c r="D44" s="17">
        <v>177.61224490000001</v>
      </c>
      <c r="E44">
        <v>12.08163265</v>
      </c>
      <c r="F44">
        <v>24.265306120000002</v>
      </c>
    </row>
    <row r="48" spans="4:6" ht="23.4" x14ac:dyDescent="0.45">
      <c r="D48" s="13" t="s">
        <v>191</v>
      </c>
    </row>
    <row r="50" spans="3:5" ht="25.8" x14ac:dyDescent="0.5">
      <c r="D50" s="28" t="s">
        <v>192</v>
      </c>
      <c r="E50" s="29">
        <f>AVERAGE(tblCalculations[Task_Complete_Rate])</f>
        <v>0.91103026500163842</v>
      </c>
    </row>
    <row r="53" spans="3:5" x14ac:dyDescent="0.3">
      <c r="C53" s="30" t="s">
        <v>193</v>
      </c>
      <c r="D53" t="s">
        <v>196</v>
      </c>
    </row>
    <row r="54" spans="3:5" x14ac:dyDescent="0.3">
      <c r="C54" s="31" t="s">
        <v>66</v>
      </c>
    </row>
    <row r="55" spans="3:5" x14ac:dyDescent="0.3">
      <c r="C55" s="31" t="s">
        <v>20</v>
      </c>
      <c r="D55">
        <v>36</v>
      </c>
    </row>
    <row r="56" spans="3:5" x14ac:dyDescent="0.3">
      <c r="C56" s="31" t="s">
        <v>37</v>
      </c>
      <c r="D56">
        <v>37</v>
      </c>
    </row>
    <row r="57" spans="3:5" x14ac:dyDescent="0.3">
      <c r="C57" s="31" t="s">
        <v>58</v>
      </c>
      <c r="D57">
        <v>38</v>
      </c>
    </row>
    <row r="58" spans="3:5" x14ac:dyDescent="0.3">
      <c r="C58" s="31" t="s">
        <v>26</v>
      </c>
      <c r="D58">
        <v>38</v>
      </c>
    </row>
    <row r="59" spans="3:5" x14ac:dyDescent="0.3">
      <c r="C59" s="31" t="s">
        <v>44</v>
      </c>
      <c r="D59">
        <v>39</v>
      </c>
    </row>
    <row r="60" spans="3:5" x14ac:dyDescent="0.3">
      <c r="C60" s="31" t="s">
        <v>49</v>
      </c>
      <c r="D60">
        <v>40</v>
      </c>
    </row>
    <row r="61" spans="3:5" x14ac:dyDescent="0.3">
      <c r="C61" s="31" t="s">
        <v>17</v>
      </c>
      <c r="D61">
        <v>40</v>
      </c>
    </row>
    <row r="62" spans="3:5" x14ac:dyDescent="0.3">
      <c r="C62" s="31" t="s">
        <v>41</v>
      </c>
      <c r="D62">
        <v>41</v>
      </c>
    </row>
    <row r="63" spans="3:5" x14ac:dyDescent="0.3">
      <c r="C63" s="31" t="s">
        <v>54</v>
      </c>
      <c r="D63">
        <v>41</v>
      </c>
    </row>
    <row r="64" spans="3:5" x14ac:dyDescent="0.3">
      <c r="C64" s="31" t="s">
        <v>30</v>
      </c>
      <c r="D64">
        <v>42</v>
      </c>
    </row>
    <row r="65" spans="3:4" x14ac:dyDescent="0.3">
      <c r="C65" s="31" t="s">
        <v>52</v>
      </c>
      <c r="D65">
        <v>42</v>
      </c>
    </row>
    <row r="66" spans="3:4" x14ac:dyDescent="0.3">
      <c r="C66" s="31" t="s">
        <v>21</v>
      </c>
      <c r="D66">
        <v>43</v>
      </c>
    </row>
    <row r="67" spans="3:4" x14ac:dyDescent="0.3">
      <c r="C67" s="31" t="s">
        <v>34</v>
      </c>
      <c r="D67">
        <v>43</v>
      </c>
    </row>
    <row r="68" spans="3:4" x14ac:dyDescent="0.3">
      <c r="C68" s="31" t="s">
        <v>23</v>
      </c>
      <c r="D68">
        <v>44</v>
      </c>
    </row>
    <row r="69" spans="3:4" x14ac:dyDescent="0.3">
      <c r="C69" s="31" t="s">
        <v>63</v>
      </c>
      <c r="D69">
        <v>44</v>
      </c>
    </row>
    <row r="70" spans="3:4" x14ac:dyDescent="0.3">
      <c r="C70" s="31" t="s">
        <v>47</v>
      </c>
      <c r="D70">
        <v>44</v>
      </c>
    </row>
    <row r="71" spans="3:4" x14ac:dyDescent="0.3">
      <c r="C71" s="31" t="s">
        <v>18</v>
      </c>
      <c r="D71">
        <v>45</v>
      </c>
    </row>
    <row r="72" spans="3:4" x14ac:dyDescent="0.3">
      <c r="C72" s="31" t="s">
        <v>40</v>
      </c>
      <c r="D72">
        <v>45</v>
      </c>
    </row>
    <row r="73" spans="3:4" x14ac:dyDescent="0.3">
      <c r="C73" s="31" t="s">
        <v>28</v>
      </c>
      <c r="D73">
        <v>45</v>
      </c>
    </row>
    <row r="74" spans="3:4" x14ac:dyDescent="0.3">
      <c r="C74" s="31" t="s">
        <v>50</v>
      </c>
      <c r="D74">
        <v>46</v>
      </c>
    </row>
    <row r="75" spans="3:4" x14ac:dyDescent="0.3">
      <c r="C75" s="31" t="s">
        <v>61</v>
      </c>
      <c r="D75">
        <v>46</v>
      </c>
    </row>
    <row r="76" spans="3:4" x14ac:dyDescent="0.3">
      <c r="C76" s="31" t="s">
        <v>43</v>
      </c>
      <c r="D76">
        <v>47</v>
      </c>
    </row>
    <row r="77" spans="3:4" x14ac:dyDescent="0.3">
      <c r="C77" s="31" t="s">
        <v>65</v>
      </c>
      <c r="D77">
        <v>47</v>
      </c>
    </row>
    <row r="78" spans="3:4" x14ac:dyDescent="0.3">
      <c r="C78" s="31" t="s">
        <v>36</v>
      </c>
      <c r="D78">
        <v>47</v>
      </c>
    </row>
    <row r="79" spans="3:4" x14ac:dyDescent="0.3">
      <c r="C79" s="31" t="s">
        <v>24</v>
      </c>
      <c r="D79">
        <v>47</v>
      </c>
    </row>
    <row r="80" spans="3:4" x14ac:dyDescent="0.3">
      <c r="C80" s="31" t="s">
        <v>56</v>
      </c>
      <c r="D80">
        <v>48</v>
      </c>
    </row>
    <row r="81" spans="3:4" x14ac:dyDescent="0.3">
      <c r="C81" s="31" t="s">
        <v>38</v>
      </c>
      <c r="D81">
        <v>48</v>
      </c>
    </row>
    <row r="82" spans="3:4" x14ac:dyDescent="0.3">
      <c r="C82" s="31" t="s">
        <v>19</v>
      </c>
      <c r="D82">
        <v>48</v>
      </c>
    </row>
    <row r="83" spans="3:4" x14ac:dyDescent="0.3">
      <c r="C83" s="31" t="s">
        <v>59</v>
      </c>
      <c r="D83">
        <v>49</v>
      </c>
    </row>
    <row r="84" spans="3:4" x14ac:dyDescent="0.3">
      <c r="C84" s="31" t="s">
        <v>31</v>
      </c>
      <c r="D84">
        <v>49</v>
      </c>
    </row>
    <row r="85" spans="3:4" x14ac:dyDescent="0.3">
      <c r="C85" s="31" t="s">
        <v>46</v>
      </c>
      <c r="D85">
        <v>50</v>
      </c>
    </row>
    <row r="86" spans="3:4" x14ac:dyDescent="0.3">
      <c r="C86" s="31" t="s">
        <v>27</v>
      </c>
      <c r="D86">
        <v>50</v>
      </c>
    </row>
    <row r="87" spans="3:4" x14ac:dyDescent="0.3">
      <c r="C87" s="31" t="s">
        <v>64</v>
      </c>
      <c r="D87">
        <v>50</v>
      </c>
    </row>
    <row r="88" spans="3:4" x14ac:dyDescent="0.3">
      <c r="C88" s="31" t="s">
        <v>33</v>
      </c>
      <c r="D88">
        <v>51</v>
      </c>
    </row>
    <row r="89" spans="3:4" x14ac:dyDescent="0.3">
      <c r="C89" s="31" t="s">
        <v>22</v>
      </c>
      <c r="D89">
        <v>51</v>
      </c>
    </row>
    <row r="90" spans="3:4" x14ac:dyDescent="0.3">
      <c r="C90" s="31" t="s">
        <v>42</v>
      </c>
      <c r="D90">
        <v>52</v>
      </c>
    </row>
    <row r="91" spans="3:4" x14ac:dyDescent="0.3">
      <c r="C91" s="31" t="s">
        <v>51</v>
      </c>
      <c r="D91">
        <v>52</v>
      </c>
    </row>
    <row r="92" spans="3:4" x14ac:dyDescent="0.3">
      <c r="C92" s="31" t="s">
        <v>25</v>
      </c>
      <c r="D92">
        <v>52</v>
      </c>
    </row>
    <row r="93" spans="3:4" x14ac:dyDescent="0.3">
      <c r="C93" s="31" t="s">
        <v>55</v>
      </c>
      <c r="D93">
        <v>53</v>
      </c>
    </row>
    <row r="94" spans="3:4" x14ac:dyDescent="0.3">
      <c r="C94" s="31" t="s">
        <v>35</v>
      </c>
      <c r="D94">
        <v>53</v>
      </c>
    </row>
    <row r="95" spans="3:4" x14ac:dyDescent="0.3">
      <c r="C95" s="31" t="s">
        <v>62</v>
      </c>
      <c r="D95">
        <v>53</v>
      </c>
    </row>
    <row r="96" spans="3:4" x14ac:dyDescent="0.3">
      <c r="C96" s="31" t="s">
        <v>29</v>
      </c>
      <c r="D96">
        <v>54</v>
      </c>
    </row>
    <row r="97" spans="3:4" x14ac:dyDescent="0.3">
      <c r="C97" s="31" t="s">
        <v>57</v>
      </c>
      <c r="D97">
        <v>55</v>
      </c>
    </row>
    <row r="98" spans="3:4" x14ac:dyDescent="0.3">
      <c r="C98" s="31" t="s">
        <v>32</v>
      </c>
      <c r="D98">
        <v>55</v>
      </c>
    </row>
    <row r="99" spans="3:4" x14ac:dyDescent="0.3">
      <c r="C99" s="31" t="s">
        <v>45</v>
      </c>
      <c r="D99">
        <v>55</v>
      </c>
    </row>
    <row r="100" spans="3:4" x14ac:dyDescent="0.3">
      <c r="C100" s="31" t="s">
        <v>39</v>
      </c>
      <c r="D100">
        <v>56</v>
      </c>
    </row>
    <row r="101" spans="3:4" x14ac:dyDescent="0.3">
      <c r="C101" s="31" t="s">
        <v>60</v>
      </c>
      <c r="D101">
        <v>57</v>
      </c>
    </row>
    <row r="102" spans="3:4" x14ac:dyDescent="0.3">
      <c r="C102" s="31" t="s">
        <v>48</v>
      </c>
      <c r="D102">
        <v>57</v>
      </c>
    </row>
    <row r="103" spans="3:4" x14ac:dyDescent="0.3">
      <c r="C103" s="31" t="s">
        <v>53</v>
      </c>
      <c r="D103">
        <v>58</v>
      </c>
    </row>
    <row r="104" spans="3:4" x14ac:dyDescent="0.3">
      <c r="C104" s="31" t="s">
        <v>194</v>
      </c>
      <c r="D104">
        <v>47.408163265306122</v>
      </c>
    </row>
    <row r="111" spans="3:4" ht="23.4" x14ac:dyDescent="0.45">
      <c r="D111" s="13" t="s">
        <v>201</v>
      </c>
    </row>
    <row r="113" spans="3:8" x14ac:dyDescent="0.3">
      <c r="C113" t="s">
        <v>197</v>
      </c>
      <c r="D113" t="s">
        <v>198</v>
      </c>
      <c r="E113" t="s">
        <v>199</v>
      </c>
      <c r="F113" t="s">
        <v>200</v>
      </c>
      <c r="G113" t="s">
        <v>188</v>
      </c>
      <c r="H113" t="s">
        <v>202</v>
      </c>
    </row>
    <row r="114" spans="3:8" x14ac:dyDescent="0.3">
      <c r="C114" s="26" t="s">
        <v>17</v>
      </c>
      <c r="D114" s="27" t="s">
        <v>67</v>
      </c>
      <c r="E114">
        <f ca="1">ROUND((Table6[[#This Row],[Overtime Hours]]/10*25)+((1-Table6[[#This Row],[Completion Rate]])*25),0)</f>
        <v>35</v>
      </c>
      <c r="F114" t="str">
        <f ca="1">IF(Table6[[#This Row],[Risk Score]]&lt;40,"Low Risk",IF(Table6[[#This Row],[Risk Score]]&lt;70,"Medium Risk","High Risk"))</f>
        <v>Low Risk</v>
      </c>
      <c r="G114" s="27">
        <v>4</v>
      </c>
      <c r="H114" s="23">
        <f t="shared" ref="H114:H145" ca="1" si="0">G114/F114</f>
        <v>0.95238095238095233</v>
      </c>
    </row>
    <row r="115" spans="3:8" x14ac:dyDescent="0.3">
      <c r="C115" s="24" t="s">
        <v>18</v>
      </c>
      <c r="D115" s="25" t="s">
        <v>68</v>
      </c>
      <c r="E115">
        <f ca="1">ROUND((Table6[[#This Row],[Overtime Hours]]/10*25)+((1-Table6[[#This Row],[Completion Rate]])*25),0)</f>
        <v>45</v>
      </c>
      <c r="F115" t="str">
        <f ca="1">IF(Table6[[#This Row],[Risk Score]]&lt;40,"Low Risk",IF(Table6[[#This Row],[Risk Score]]&lt;70,"Medium Risk","High Risk"))</f>
        <v>Medium Risk</v>
      </c>
      <c r="G115" s="25">
        <v>8</v>
      </c>
      <c r="H115" s="23">
        <f t="shared" ca="1" si="0"/>
        <v>0.9375</v>
      </c>
    </row>
    <row r="116" spans="3:8" x14ac:dyDescent="0.3">
      <c r="C116" s="26" t="s">
        <v>19</v>
      </c>
      <c r="D116" s="27" t="s">
        <v>69</v>
      </c>
      <c r="E116">
        <f ca="1">ROUND((Table6[[#This Row],[Overtime Hours]]/10*25)+((1-Table6[[#This Row],[Completion Rate]])*25),0)</f>
        <v>65</v>
      </c>
      <c r="F116" t="str">
        <f ca="1">IF(Table6[[#This Row],[Risk Score]]&lt;40,"Low Risk",IF(Table6[[#This Row],[Risk Score]]&lt;70,"Medium Risk","High Risk"))</f>
        <v>Medium Risk</v>
      </c>
      <c r="G116" s="27">
        <v>16</v>
      </c>
      <c r="H116" s="23">
        <f t="shared" ca="1" si="0"/>
        <v>0.87272727272727268</v>
      </c>
    </row>
    <row r="117" spans="3:8" x14ac:dyDescent="0.3">
      <c r="C117" s="24" t="s">
        <v>20</v>
      </c>
      <c r="D117" s="25" t="s">
        <v>70</v>
      </c>
      <c r="E117">
        <f ca="1">ROUND((Table6[[#This Row],[Overtime Hours]]/10*25)+((1-Table6[[#This Row],[Completion Rate]])*25),0)</f>
        <v>30</v>
      </c>
      <c r="F117" t="str">
        <f ca="1">IF(Table6[[#This Row],[Risk Score]]&lt;40,"Low Risk",IF(Table6[[#This Row],[Risk Score]]&lt;70,"Medium Risk","High Risk"))</f>
        <v>Low Risk</v>
      </c>
      <c r="G117" s="25">
        <v>2</v>
      </c>
      <c r="H117" s="23">
        <f t="shared" ca="1" si="0"/>
        <v>0.94736842105263153</v>
      </c>
    </row>
    <row r="118" spans="3:8" x14ac:dyDescent="0.3">
      <c r="C118" s="26" t="s">
        <v>21</v>
      </c>
      <c r="D118" s="27" t="s">
        <v>71</v>
      </c>
      <c r="E118">
        <f ca="1">ROUND((Table6[[#This Row],[Overtime Hours]]/10*25)+((1-Table6[[#This Row],[Completion Rate]])*25),0)</f>
        <v>40</v>
      </c>
      <c r="F118" t="str">
        <f ca="1">IF(Table6[[#This Row],[Risk Score]]&lt;40,"Low Risk",IF(Table6[[#This Row],[Risk Score]]&lt;70,"Medium Risk","High Risk"))</f>
        <v>Medium Risk</v>
      </c>
      <c r="G118" s="27">
        <v>6</v>
      </c>
      <c r="H118" s="23">
        <f t="shared" ca="1" si="0"/>
        <v>0.9555555555555556</v>
      </c>
    </row>
    <row r="119" spans="3:8" x14ac:dyDescent="0.3">
      <c r="C119" s="24" t="s">
        <v>22</v>
      </c>
      <c r="D119" s="25" t="s">
        <v>72</v>
      </c>
      <c r="E119">
        <f ca="1">ROUND((Table6[[#This Row],[Overtime Hours]]/10*25)+((1-Table6[[#This Row],[Completion Rate]])*25),0)</f>
        <v>70</v>
      </c>
      <c r="F119" t="str">
        <f ca="1">IF(Table6[[#This Row],[Risk Score]]&lt;40,"Low Risk",IF(Table6[[#This Row],[Risk Score]]&lt;70,"Medium Risk","High Risk"))</f>
        <v>High Risk</v>
      </c>
      <c r="G119" s="25">
        <v>18</v>
      </c>
      <c r="H119" s="23">
        <f t="shared" ca="1" si="0"/>
        <v>0.87931034482758619</v>
      </c>
    </row>
    <row r="120" spans="3:8" x14ac:dyDescent="0.3">
      <c r="C120" s="26" t="s">
        <v>23</v>
      </c>
      <c r="D120" s="27" t="s">
        <v>73</v>
      </c>
      <c r="E120">
        <f ca="1">ROUND((Table6[[#This Row],[Overtime Hours]]/10*25)+((1-Table6[[#This Row],[Completion Rate]])*25),0)</f>
        <v>38</v>
      </c>
      <c r="F120" t="str">
        <f ca="1">IF(Table6[[#This Row],[Risk Score]]&lt;40,"Low Risk",IF(Table6[[#This Row],[Risk Score]]&lt;70,"Medium Risk","High Risk"))</f>
        <v>Low Risk</v>
      </c>
      <c r="G120" s="27">
        <v>5</v>
      </c>
      <c r="H120" s="23">
        <f t="shared" ca="1" si="0"/>
        <v>0.93617021276595747</v>
      </c>
    </row>
    <row r="121" spans="3:8" x14ac:dyDescent="0.3">
      <c r="C121" s="24" t="s">
        <v>24</v>
      </c>
      <c r="D121" s="25" t="s">
        <v>74</v>
      </c>
      <c r="E121">
        <f ca="1">ROUND((Table6[[#This Row],[Overtime Hours]]/10*25)+((1-Table6[[#This Row],[Completion Rate]])*25),0)</f>
        <v>50</v>
      </c>
      <c r="F121" t="str">
        <f ca="1">IF(Table6[[#This Row],[Risk Score]]&lt;40,"Low Risk",IF(Table6[[#This Row],[Risk Score]]&lt;70,"Medium Risk","High Risk"))</f>
        <v>Medium Risk</v>
      </c>
      <c r="G121" s="25">
        <v>10</v>
      </c>
      <c r="H121" s="23">
        <f t="shared" ca="1" si="0"/>
        <v>0.92156862745098034</v>
      </c>
    </row>
    <row r="122" spans="3:8" x14ac:dyDescent="0.3">
      <c r="C122" s="26" t="s">
        <v>25</v>
      </c>
      <c r="D122" s="27" t="s">
        <v>75</v>
      </c>
      <c r="E122">
        <f ca="1">ROUND((Table6[[#This Row],[Overtime Hours]]/10*25)+((1-Table6[[#This Row],[Completion Rate]])*25),0)</f>
        <v>85</v>
      </c>
      <c r="F122" t="str">
        <f ca="1">IF(Table6[[#This Row],[Risk Score]]&lt;40,"Low Risk",IF(Table6[[#This Row],[Risk Score]]&lt;70,"Medium Risk","High Risk"))</f>
        <v>High Risk</v>
      </c>
      <c r="G122" s="27">
        <v>24</v>
      </c>
      <c r="H122" s="23">
        <f t="shared" ca="1" si="0"/>
        <v>0.82539682539682535</v>
      </c>
    </row>
    <row r="123" spans="3:8" x14ac:dyDescent="0.3">
      <c r="C123" s="24" t="s">
        <v>26</v>
      </c>
      <c r="D123" s="25" t="s">
        <v>76</v>
      </c>
      <c r="E123">
        <f ca="1">ROUND((Table6[[#This Row],[Overtime Hours]]/10*25)+((1-Table6[[#This Row],[Completion Rate]])*25),0)</f>
        <v>33</v>
      </c>
      <c r="F123" t="str">
        <f ca="1">IF(Table6[[#This Row],[Risk Score]]&lt;40,"Low Risk",IF(Table6[[#This Row],[Risk Score]]&lt;70,"Medium Risk","High Risk"))</f>
        <v>Low Risk</v>
      </c>
      <c r="G123" s="25">
        <v>3</v>
      </c>
      <c r="H123" s="23">
        <f t="shared" ca="1" si="0"/>
        <v>0.95</v>
      </c>
    </row>
    <row r="124" spans="3:8" x14ac:dyDescent="0.3">
      <c r="C124" s="26" t="s">
        <v>27</v>
      </c>
      <c r="D124" s="27" t="s">
        <v>77</v>
      </c>
      <c r="E124">
        <f ca="1">ROUND((Table6[[#This Row],[Overtime Hours]]/10*25)+((1-Table6[[#This Row],[Completion Rate]])*25),0)</f>
        <v>60</v>
      </c>
      <c r="F124" t="str">
        <f ca="1">IF(Table6[[#This Row],[Risk Score]]&lt;40,"Low Risk",IF(Table6[[#This Row],[Risk Score]]&lt;70,"Medium Risk","High Risk"))</f>
        <v>Medium Risk</v>
      </c>
      <c r="G124" s="27">
        <v>14</v>
      </c>
      <c r="H124" s="23">
        <f t="shared" ca="1" si="0"/>
        <v>0.92592592592592593</v>
      </c>
    </row>
    <row r="125" spans="3:8" x14ac:dyDescent="0.3">
      <c r="C125" s="24" t="s">
        <v>28</v>
      </c>
      <c r="D125" s="25" t="s">
        <v>78</v>
      </c>
      <c r="E125">
        <f ca="1">ROUND((Table6[[#This Row],[Overtime Hours]]/10*25)+((1-Table6[[#This Row],[Completion Rate]])*25),0)</f>
        <v>48</v>
      </c>
      <c r="F125" t="str">
        <f ca="1">IF(Table6[[#This Row],[Risk Score]]&lt;40,"Low Risk",IF(Table6[[#This Row],[Risk Score]]&lt;70,"Medium Risk","High Risk"))</f>
        <v>Medium Risk</v>
      </c>
      <c r="G125" s="25">
        <v>9</v>
      </c>
      <c r="H125" s="23">
        <f t="shared" ca="1" si="0"/>
        <v>0.91836734693877553</v>
      </c>
    </row>
    <row r="126" spans="3:8" x14ac:dyDescent="0.3">
      <c r="C126" s="26" t="s">
        <v>29</v>
      </c>
      <c r="D126" s="27" t="s">
        <v>79</v>
      </c>
      <c r="E126">
        <f ca="1">ROUND((Table6[[#This Row],[Overtime Hours]]/10*25)+((1-Table6[[#This Row],[Completion Rate]])*25),0)</f>
        <v>75</v>
      </c>
      <c r="F126" t="str">
        <f ca="1">IF(Table6[[#This Row],[Risk Score]]&lt;40,"Low Risk",IF(Table6[[#This Row],[Risk Score]]&lt;70,"Medium Risk","High Risk"))</f>
        <v>High Risk</v>
      </c>
      <c r="G126" s="27">
        <v>20</v>
      </c>
      <c r="H126" s="23">
        <f t="shared" ca="1" si="0"/>
        <v>0.9</v>
      </c>
    </row>
    <row r="127" spans="3:8" x14ac:dyDescent="0.3">
      <c r="C127" s="24" t="s">
        <v>30</v>
      </c>
      <c r="D127" s="25" t="s">
        <v>80</v>
      </c>
      <c r="E127">
        <f ca="1">ROUND((Table6[[#This Row],[Overtime Hours]]/10*25)+((1-Table6[[#This Row],[Completion Rate]])*25),0)</f>
        <v>38</v>
      </c>
      <c r="F127" t="str">
        <f ca="1">IF(Table6[[#This Row],[Risk Score]]&lt;40,"Low Risk",IF(Table6[[#This Row],[Risk Score]]&lt;70,"Medium Risk","High Risk"))</f>
        <v>Low Risk</v>
      </c>
      <c r="G127" s="25">
        <v>5</v>
      </c>
      <c r="H127" s="23">
        <f t="shared" ca="1" si="0"/>
        <v>0.95454545454545459</v>
      </c>
    </row>
    <row r="128" spans="3:8" x14ac:dyDescent="0.3">
      <c r="C128" s="26" t="s">
        <v>31</v>
      </c>
      <c r="D128" s="27" t="s">
        <v>81</v>
      </c>
      <c r="E128">
        <f ca="1">ROUND((Table6[[#This Row],[Overtime Hours]]/10*25)+((1-Table6[[#This Row],[Completion Rate]])*25),0)</f>
        <v>53</v>
      </c>
      <c r="F128" t="str">
        <f ca="1">IF(Table6[[#This Row],[Risk Score]]&lt;40,"Low Risk",IF(Table6[[#This Row],[Risk Score]]&lt;70,"Medium Risk","High Risk"))</f>
        <v>Medium Risk</v>
      </c>
      <c r="G128" s="27">
        <v>11</v>
      </c>
      <c r="H128" s="23">
        <f t="shared" ca="1" si="0"/>
        <v>0.94230769230769229</v>
      </c>
    </row>
    <row r="129" spans="3:8" x14ac:dyDescent="0.3">
      <c r="C129" s="24" t="s">
        <v>32</v>
      </c>
      <c r="D129" s="25" t="s">
        <v>82</v>
      </c>
      <c r="E129">
        <f ca="1">ROUND((Table6[[#This Row],[Overtime Hours]]/10*25)+((1-Table6[[#This Row],[Completion Rate]])*25),0)</f>
        <v>90</v>
      </c>
      <c r="F129" t="str">
        <f ca="1">IF(Table6[[#This Row],[Risk Score]]&lt;40,"Low Risk",IF(Table6[[#This Row],[Risk Score]]&lt;70,"Medium Risk","High Risk"))</f>
        <v>High Risk</v>
      </c>
      <c r="G129" s="25">
        <v>26</v>
      </c>
      <c r="H129" s="23">
        <f t="shared" ca="1" si="0"/>
        <v>0.82089552238805974</v>
      </c>
    </row>
    <row r="130" spans="3:8" x14ac:dyDescent="0.3">
      <c r="C130" s="26" t="s">
        <v>33</v>
      </c>
      <c r="D130" s="27" t="s">
        <v>83</v>
      </c>
      <c r="E130">
        <f ca="1">ROUND((Table6[[#This Row],[Overtime Hours]]/10*25)+((1-Table6[[#This Row],[Completion Rate]])*25),0)</f>
        <v>63</v>
      </c>
      <c r="F130" t="str">
        <f ca="1">IF(Table6[[#This Row],[Risk Score]]&lt;40,"Low Risk",IF(Table6[[#This Row],[Risk Score]]&lt;70,"Medium Risk","High Risk"))</f>
        <v>Medium Risk</v>
      </c>
      <c r="G130" s="27">
        <v>15</v>
      </c>
      <c r="H130" s="23">
        <f t="shared" ca="1" si="0"/>
        <v>0.9107142857142857</v>
      </c>
    </row>
    <row r="131" spans="3:8" x14ac:dyDescent="0.3">
      <c r="C131" s="24" t="s">
        <v>34</v>
      </c>
      <c r="D131" s="25" t="s">
        <v>84</v>
      </c>
      <c r="E131">
        <f ca="1">ROUND((Table6[[#This Row],[Overtime Hours]]/10*25)+((1-Table6[[#This Row],[Completion Rate]])*25),0)</f>
        <v>43</v>
      </c>
      <c r="F131" t="str">
        <f ca="1">IF(Table6[[#This Row],[Risk Score]]&lt;40,"Low Risk",IF(Table6[[#This Row],[Risk Score]]&lt;70,"Medium Risk","High Risk"))</f>
        <v>Medium Risk</v>
      </c>
      <c r="G131" s="25">
        <v>7</v>
      </c>
      <c r="H131" s="23">
        <f t="shared" ca="1" si="0"/>
        <v>0.93478260869565222</v>
      </c>
    </row>
    <row r="132" spans="3:8" x14ac:dyDescent="0.3">
      <c r="C132" s="26" t="s">
        <v>35</v>
      </c>
      <c r="D132" s="27" t="s">
        <v>85</v>
      </c>
      <c r="E132">
        <f ca="1">ROUND((Table6[[#This Row],[Overtime Hours]]/10*25)+((1-Table6[[#This Row],[Completion Rate]])*25),0)</f>
        <v>80</v>
      </c>
      <c r="F132" t="str">
        <f ca="1">IF(Table6[[#This Row],[Risk Score]]&lt;40,"Low Risk",IF(Table6[[#This Row],[Risk Score]]&lt;70,"Medium Risk","High Risk"))</f>
        <v>High Risk</v>
      </c>
      <c r="G132" s="27">
        <v>22</v>
      </c>
      <c r="H132" s="23">
        <f t="shared" ca="1" si="0"/>
        <v>0.86885245901639341</v>
      </c>
    </row>
    <row r="133" spans="3:8" x14ac:dyDescent="0.3">
      <c r="C133" s="24" t="s">
        <v>36</v>
      </c>
      <c r="D133" s="25" t="s">
        <v>86</v>
      </c>
      <c r="E133">
        <f ca="1">ROUND((Table6[[#This Row],[Overtime Hours]]/10*25)+((1-Table6[[#This Row],[Completion Rate]])*25),0)</f>
        <v>55</v>
      </c>
      <c r="F133" t="str">
        <f ca="1">IF(Table6[[#This Row],[Risk Score]]&lt;40,"Low Risk",IF(Table6[[#This Row],[Risk Score]]&lt;70,"Medium Risk","High Risk"))</f>
        <v>Medium Risk</v>
      </c>
      <c r="G133" s="25">
        <v>12</v>
      </c>
      <c r="H133" s="23">
        <f t="shared" ca="1" si="0"/>
        <v>0.94</v>
      </c>
    </row>
    <row r="134" spans="3:8" x14ac:dyDescent="0.3">
      <c r="C134" s="26" t="s">
        <v>37</v>
      </c>
      <c r="D134" s="27" t="s">
        <v>87</v>
      </c>
      <c r="E134">
        <f ca="1">ROUND((Table6[[#This Row],[Overtime Hours]]/10*25)+((1-Table6[[#This Row],[Completion Rate]])*25),0)</f>
        <v>28</v>
      </c>
      <c r="F134" t="str">
        <f ca="1">IF(Table6[[#This Row],[Risk Score]]&lt;40,"Low Risk",IF(Table6[[#This Row],[Risk Score]]&lt;70,"Medium Risk","High Risk"))</f>
        <v>Low Risk</v>
      </c>
      <c r="G134" s="27">
        <v>1</v>
      </c>
      <c r="H134" s="23">
        <f t="shared" ca="1" si="0"/>
        <v>0.94871794871794868</v>
      </c>
    </row>
    <row r="135" spans="3:8" x14ac:dyDescent="0.3">
      <c r="C135" s="24" t="s">
        <v>38</v>
      </c>
      <c r="D135" s="25" t="s">
        <v>88</v>
      </c>
      <c r="E135">
        <f ca="1">ROUND((Table6[[#This Row],[Overtime Hours]]/10*25)+((1-Table6[[#This Row],[Completion Rate]])*25),0)</f>
        <v>58</v>
      </c>
      <c r="F135" t="str">
        <f ca="1">IF(Table6[[#This Row],[Risk Score]]&lt;40,"Low Risk",IF(Table6[[#This Row],[Risk Score]]&lt;70,"Medium Risk","High Risk"))</f>
        <v>Medium Risk</v>
      </c>
      <c r="G135" s="25">
        <v>13</v>
      </c>
      <c r="H135" s="23">
        <f t="shared" ca="1" si="0"/>
        <v>0.90566037735849059</v>
      </c>
    </row>
    <row r="136" spans="3:8" x14ac:dyDescent="0.3">
      <c r="C136" s="26" t="s">
        <v>39</v>
      </c>
      <c r="D136" s="27" t="s">
        <v>89</v>
      </c>
      <c r="E136">
        <f ca="1">ROUND((Table6[[#This Row],[Overtime Hours]]/10*25)+((1-Table6[[#This Row],[Completion Rate]])*25),0)</f>
        <v>88</v>
      </c>
      <c r="F136" t="str">
        <f ca="1">IF(Table6[[#This Row],[Risk Score]]&lt;40,"Low Risk",IF(Table6[[#This Row],[Risk Score]]&lt;70,"Medium Risk","High Risk"))</f>
        <v>High Risk</v>
      </c>
      <c r="G136" s="27">
        <v>25</v>
      </c>
      <c r="H136" s="23">
        <f t="shared" ca="1" si="0"/>
        <v>0.86153846153846159</v>
      </c>
    </row>
    <row r="137" spans="3:8" x14ac:dyDescent="0.3">
      <c r="C137" s="24" t="s">
        <v>40</v>
      </c>
      <c r="D137" s="25" t="s">
        <v>90</v>
      </c>
      <c r="E137">
        <f ca="1">ROUND((Table6[[#This Row],[Overtime Hours]]/10*25)+((1-Table6[[#This Row],[Completion Rate]])*25),0)</f>
        <v>40</v>
      </c>
      <c r="F137" t="str">
        <f ca="1">IF(Table6[[#This Row],[Risk Score]]&lt;40,"Low Risk",IF(Table6[[#This Row],[Risk Score]]&lt;70,"Medium Risk","High Risk"))</f>
        <v>Medium Risk</v>
      </c>
      <c r="G137" s="25">
        <v>6</v>
      </c>
      <c r="H137" s="23">
        <f t="shared" ca="1" si="0"/>
        <v>0.9375</v>
      </c>
    </row>
    <row r="138" spans="3:8" x14ac:dyDescent="0.3">
      <c r="C138" s="26" t="s">
        <v>41</v>
      </c>
      <c r="D138" s="27" t="s">
        <v>91</v>
      </c>
      <c r="E138">
        <f ca="1">ROUND((Table6[[#This Row],[Overtime Hours]]/10*25)+((1-Table6[[#This Row],[Completion Rate]])*25),0)</f>
        <v>35</v>
      </c>
      <c r="F138" t="str">
        <f ca="1">IF(Table6[[#This Row],[Risk Score]]&lt;40,"Low Risk",IF(Table6[[#This Row],[Risk Score]]&lt;70,"Medium Risk","High Risk"))</f>
        <v>Low Risk</v>
      </c>
      <c r="G138" s="27">
        <v>4</v>
      </c>
      <c r="H138" s="23">
        <f t="shared" ca="1" si="0"/>
        <v>0.95348837209302328</v>
      </c>
    </row>
    <row r="139" spans="3:8" x14ac:dyDescent="0.3">
      <c r="C139" s="24" t="s">
        <v>42</v>
      </c>
      <c r="D139" s="25" t="s">
        <v>92</v>
      </c>
      <c r="E139">
        <f ca="1">ROUND((Table6[[#This Row],[Overtime Hours]]/10*25)+((1-Table6[[#This Row],[Completion Rate]])*25),0)</f>
        <v>68</v>
      </c>
      <c r="F139" t="str">
        <f ca="1">IF(Table6[[#This Row],[Risk Score]]&lt;40,"Low Risk",IF(Table6[[#This Row],[Risk Score]]&lt;70,"Medium Risk","High Risk"))</f>
        <v>Medium Risk</v>
      </c>
      <c r="G139" s="25">
        <v>17</v>
      </c>
      <c r="H139" s="23">
        <f t="shared" ca="1" si="0"/>
        <v>0.88135593220338981</v>
      </c>
    </row>
    <row r="140" spans="3:8" x14ac:dyDescent="0.3">
      <c r="C140" s="26" t="s">
        <v>43</v>
      </c>
      <c r="D140" s="27" t="s">
        <v>93</v>
      </c>
      <c r="E140">
        <f ca="1">ROUND((Table6[[#This Row],[Overtime Hours]]/10*25)+((1-Table6[[#This Row],[Completion Rate]])*25),0)</f>
        <v>45</v>
      </c>
      <c r="F140" t="str">
        <f ca="1">IF(Table6[[#This Row],[Risk Score]]&lt;40,"Low Risk",IF(Table6[[#This Row],[Risk Score]]&lt;70,"Medium Risk","High Risk"))</f>
        <v>Medium Risk</v>
      </c>
      <c r="G140" s="27">
        <v>8</v>
      </c>
      <c r="H140" s="23">
        <f t="shared" ca="1" si="0"/>
        <v>0.92156862745098034</v>
      </c>
    </row>
    <row r="141" spans="3:8" x14ac:dyDescent="0.3">
      <c r="C141" s="24" t="s">
        <v>44</v>
      </c>
      <c r="D141" s="25" t="s">
        <v>94</v>
      </c>
      <c r="E141">
        <f ca="1">ROUND((Table6[[#This Row],[Overtime Hours]]/10*25)+((1-Table6[[#This Row],[Completion Rate]])*25),0)</f>
        <v>30</v>
      </c>
      <c r="F141" t="str">
        <f ca="1">IF(Table6[[#This Row],[Risk Score]]&lt;40,"Low Risk",IF(Table6[[#This Row],[Risk Score]]&lt;70,"Medium Risk","High Risk"))</f>
        <v>Low Risk</v>
      </c>
      <c r="G141" s="25">
        <v>2</v>
      </c>
      <c r="H141" s="23">
        <f t="shared" ca="1" si="0"/>
        <v>0.95121951219512191</v>
      </c>
    </row>
    <row r="142" spans="3:8" x14ac:dyDescent="0.3">
      <c r="C142" s="26" t="s">
        <v>45</v>
      </c>
      <c r="D142" s="27" t="s">
        <v>95</v>
      </c>
      <c r="E142">
        <f ca="1">ROUND((Table6[[#This Row],[Overtime Hours]]/10*25)+((1-Table6[[#This Row],[Completion Rate]])*25),0)</f>
        <v>78</v>
      </c>
      <c r="F142" t="str">
        <f ca="1">IF(Table6[[#This Row],[Risk Score]]&lt;40,"Low Risk",IF(Table6[[#This Row],[Risk Score]]&lt;70,"Medium Risk","High Risk"))</f>
        <v>High Risk</v>
      </c>
      <c r="G142" s="27">
        <v>21</v>
      </c>
      <c r="H142" s="23">
        <f t="shared" ca="1" si="0"/>
        <v>0.859375</v>
      </c>
    </row>
    <row r="143" spans="3:8" x14ac:dyDescent="0.3">
      <c r="C143" s="24" t="s">
        <v>46</v>
      </c>
      <c r="D143" s="25" t="s">
        <v>96</v>
      </c>
      <c r="E143">
        <f ca="1">ROUND((Table6[[#This Row],[Overtime Hours]]/10*25)+((1-Table6[[#This Row],[Completion Rate]])*25),0)</f>
        <v>60</v>
      </c>
      <c r="F143" t="str">
        <f ca="1">IF(Table6[[#This Row],[Risk Score]]&lt;40,"Low Risk",IF(Table6[[#This Row],[Risk Score]]&lt;70,"Medium Risk","High Risk"))</f>
        <v>Medium Risk</v>
      </c>
      <c r="G143" s="25">
        <v>14</v>
      </c>
      <c r="H143" s="23">
        <f t="shared" ca="1" si="0"/>
        <v>0.90909090909090906</v>
      </c>
    </row>
    <row r="144" spans="3:8" x14ac:dyDescent="0.3">
      <c r="C144" s="26" t="s">
        <v>47</v>
      </c>
      <c r="D144" s="27" t="s">
        <v>97</v>
      </c>
      <c r="E144">
        <f ca="1">ROUND((Table6[[#This Row],[Overtime Hours]]/10*25)+((1-Table6[[#This Row],[Completion Rate]])*25),0)</f>
        <v>43</v>
      </c>
      <c r="F144" t="str">
        <f ca="1">IF(Table6[[#This Row],[Risk Score]]&lt;40,"Low Risk",IF(Table6[[#This Row],[Risk Score]]&lt;70,"Medium Risk","High Risk"))</f>
        <v>Medium Risk</v>
      </c>
      <c r="G144" s="27">
        <v>7</v>
      </c>
      <c r="H144" s="23">
        <f t="shared" ca="1" si="0"/>
        <v>0.93617021276595747</v>
      </c>
    </row>
    <row r="145" spans="3:8" x14ac:dyDescent="0.3">
      <c r="C145" s="24" t="s">
        <v>48</v>
      </c>
      <c r="D145" s="25" t="s">
        <v>98</v>
      </c>
      <c r="E145">
        <f ca="1">ROUND((Table6[[#This Row],[Overtime Hours]]/10*25)+((1-Table6[[#This Row],[Completion Rate]])*25),0)</f>
        <v>95</v>
      </c>
      <c r="F145" t="str">
        <f ca="1">IF(Table6[[#This Row],[Risk Score]]&lt;40,"Low Risk",IF(Table6[[#This Row],[Risk Score]]&lt;70,"Medium Risk","High Risk"))</f>
        <v>High Risk</v>
      </c>
      <c r="G145" s="25">
        <v>28</v>
      </c>
      <c r="H145" s="23">
        <f t="shared" ca="1" si="0"/>
        <v>0.82608695652173914</v>
      </c>
    </row>
    <row r="146" spans="3:8" x14ac:dyDescent="0.3">
      <c r="C146" s="26" t="s">
        <v>49</v>
      </c>
      <c r="D146" s="27" t="s">
        <v>99</v>
      </c>
      <c r="E146">
        <f ca="1">ROUND((Table6[[#This Row],[Overtime Hours]]/10*25)+((1-Table6[[#This Row],[Completion Rate]])*25),0)</f>
        <v>33</v>
      </c>
      <c r="F146" t="str">
        <f ca="1">IF(Table6[[#This Row],[Risk Score]]&lt;40,"Low Risk",IF(Table6[[#This Row],[Risk Score]]&lt;70,"Medium Risk","High Risk"))</f>
        <v>Low Risk</v>
      </c>
      <c r="G146" s="27">
        <v>3</v>
      </c>
      <c r="H146" s="23">
        <f t="shared" ref="H146:H177" ca="1" si="1">G146/F146</f>
        <v>0.95238095238095233</v>
      </c>
    </row>
    <row r="147" spans="3:8" x14ac:dyDescent="0.3">
      <c r="C147" s="24" t="s">
        <v>50</v>
      </c>
      <c r="D147" s="25" t="s">
        <v>100</v>
      </c>
      <c r="E147">
        <f ca="1">ROUND((Table6[[#This Row],[Overtime Hours]]/10*25)+((1-Table6[[#This Row],[Completion Rate]])*25),0)</f>
        <v>50</v>
      </c>
      <c r="F147" t="str">
        <f ca="1">IF(Table6[[#This Row],[Risk Score]]&lt;40,"Low Risk",IF(Table6[[#This Row],[Risk Score]]&lt;70,"Medium Risk","High Risk"))</f>
        <v>Medium Risk</v>
      </c>
      <c r="G147" s="25">
        <v>10</v>
      </c>
      <c r="H147" s="23">
        <f t="shared" ca="1" si="1"/>
        <v>0.92</v>
      </c>
    </row>
    <row r="148" spans="3:8" x14ac:dyDescent="0.3">
      <c r="C148" s="26" t="s">
        <v>51</v>
      </c>
      <c r="D148" s="27" t="s">
        <v>101</v>
      </c>
      <c r="E148">
        <f ca="1">ROUND((Table6[[#This Row],[Overtime Hours]]/10*25)+((1-Table6[[#This Row],[Completion Rate]])*25),0)</f>
        <v>70</v>
      </c>
      <c r="F148" t="str">
        <f ca="1">IF(Table6[[#This Row],[Risk Score]]&lt;40,"Low Risk",IF(Table6[[#This Row],[Risk Score]]&lt;70,"Medium Risk","High Risk"))</f>
        <v>High Risk</v>
      </c>
      <c r="G148" s="27">
        <v>18</v>
      </c>
      <c r="H148" s="23">
        <f t="shared" ca="1" si="1"/>
        <v>0.91228070175438591</v>
      </c>
    </row>
    <row r="149" spans="3:8" x14ac:dyDescent="0.3">
      <c r="C149" s="24" t="s">
        <v>52</v>
      </c>
      <c r="D149" s="25" t="s">
        <v>102</v>
      </c>
      <c r="E149">
        <f ca="1">ROUND((Table6[[#This Row],[Overtime Hours]]/10*25)+((1-Table6[[#This Row],[Completion Rate]])*25),0)</f>
        <v>38</v>
      </c>
      <c r="F149" t="str">
        <f ca="1">IF(Table6[[#This Row],[Risk Score]]&lt;40,"Low Risk",IF(Table6[[#This Row],[Risk Score]]&lt;70,"Medium Risk","High Risk"))</f>
        <v>Low Risk</v>
      </c>
      <c r="G149" s="25">
        <v>5</v>
      </c>
      <c r="H149" s="23">
        <f t="shared" ca="1" si="1"/>
        <v>0.93333333333333335</v>
      </c>
    </row>
    <row r="150" spans="3:8" x14ac:dyDescent="0.3">
      <c r="C150" s="26" t="s">
        <v>53</v>
      </c>
      <c r="D150" s="27" t="s">
        <v>103</v>
      </c>
      <c r="E150">
        <f ca="1">ROUND((Table6[[#This Row],[Overtime Hours]]/10*25)+((1-Table6[[#This Row],[Completion Rate]])*25),0)</f>
        <v>100</v>
      </c>
      <c r="F150" t="str">
        <f ca="1">IF(Table6[[#This Row],[Risk Score]]&lt;40,"Low Risk",IF(Table6[[#This Row],[Risk Score]]&lt;70,"Medium Risk","High Risk"))</f>
        <v>High Risk</v>
      </c>
      <c r="G150" s="27">
        <v>30</v>
      </c>
      <c r="H150" s="23">
        <f t="shared" ca="1" si="1"/>
        <v>0.81690140845070425</v>
      </c>
    </row>
    <row r="151" spans="3:8" x14ac:dyDescent="0.3">
      <c r="C151" s="24" t="s">
        <v>54</v>
      </c>
      <c r="D151" s="25" t="s">
        <v>104</v>
      </c>
      <c r="E151">
        <f ca="1">ROUND((Table6[[#This Row],[Overtime Hours]]/10*25)+((1-Table6[[#This Row],[Completion Rate]])*25),0)</f>
        <v>35</v>
      </c>
      <c r="F151" t="str">
        <f ca="1">IF(Table6[[#This Row],[Risk Score]]&lt;40,"Low Risk",IF(Table6[[#This Row],[Risk Score]]&lt;70,"Medium Risk","High Risk"))</f>
        <v>Low Risk</v>
      </c>
      <c r="G151" s="25">
        <v>4</v>
      </c>
      <c r="H151" s="23">
        <f t="shared" ca="1" si="1"/>
        <v>0.93181818181818177</v>
      </c>
    </row>
    <row r="152" spans="3:8" x14ac:dyDescent="0.3">
      <c r="C152" s="26" t="s">
        <v>55</v>
      </c>
      <c r="D152" s="27" t="s">
        <v>105</v>
      </c>
      <c r="E152">
        <f ca="1">ROUND((Table6[[#This Row],[Overtime Hours]]/10*25)+((1-Table6[[#This Row],[Completion Rate]])*25),0)</f>
        <v>65</v>
      </c>
      <c r="F152" t="str">
        <f ca="1">IF(Table6[[#This Row],[Risk Score]]&lt;40,"Low Risk",IF(Table6[[#This Row],[Risk Score]]&lt;70,"Medium Risk","High Risk"))</f>
        <v>Medium Risk</v>
      </c>
      <c r="G152" s="27">
        <v>16</v>
      </c>
      <c r="H152" s="23">
        <f t="shared" ca="1" si="1"/>
        <v>0.91379310344827591</v>
      </c>
    </row>
    <row r="153" spans="3:8" x14ac:dyDescent="0.3">
      <c r="C153" s="24" t="s">
        <v>56</v>
      </c>
      <c r="D153" s="25" t="s">
        <v>106</v>
      </c>
      <c r="E153">
        <f ca="1">ROUND((Table6[[#This Row],[Overtime Hours]]/10*25)+((1-Table6[[#This Row],[Completion Rate]])*25),0)</f>
        <v>53</v>
      </c>
      <c r="F153" t="str">
        <f ca="1">IF(Table6[[#This Row],[Risk Score]]&lt;40,"Low Risk",IF(Table6[[#This Row],[Risk Score]]&lt;70,"Medium Risk","High Risk"))</f>
        <v>Medium Risk</v>
      </c>
      <c r="G153" s="25">
        <v>11</v>
      </c>
      <c r="H153" s="23">
        <f t="shared" ca="1" si="1"/>
        <v>0.92307692307692313</v>
      </c>
    </row>
    <row r="154" spans="3:8" x14ac:dyDescent="0.3">
      <c r="C154" s="26" t="s">
        <v>57</v>
      </c>
      <c r="D154" s="27" t="s">
        <v>107</v>
      </c>
      <c r="E154">
        <f ca="1">ROUND((Table6[[#This Row],[Overtime Hours]]/10*25)+((1-Table6[[#This Row],[Completion Rate]])*25),0)</f>
        <v>73</v>
      </c>
      <c r="F154" t="str">
        <f ca="1">IF(Table6[[#This Row],[Risk Score]]&lt;40,"Low Risk",IF(Table6[[#This Row],[Risk Score]]&lt;70,"Medium Risk","High Risk"))</f>
        <v>High Risk</v>
      </c>
      <c r="G154" s="27">
        <v>19</v>
      </c>
      <c r="H154" s="23">
        <f t="shared" ca="1" si="1"/>
        <v>0.88709677419354838</v>
      </c>
    </row>
    <row r="155" spans="3:8" x14ac:dyDescent="0.3">
      <c r="C155" s="24" t="s">
        <v>58</v>
      </c>
      <c r="D155" s="25" t="s">
        <v>108</v>
      </c>
      <c r="E155">
        <f ca="1">ROUND((Table6[[#This Row],[Overtime Hours]]/10*25)+((1-Table6[[#This Row],[Completion Rate]])*25),0)</f>
        <v>30</v>
      </c>
      <c r="F155" t="str">
        <f ca="1">IF(Table6[[#This Row],[Risk Score]]&lt;40,"Low Risk",IF(Table6[[#This Row],[Risk Score]]&lt;70,"Medium Risk","High Risk"))</f>
        <v>Low Risk</v>
      </c>
      <c r="G155" s="25">
        <v>2</v>
      </c>
      <c r="H155" s="23">
        <f t="shared" ca="1" si="1"/>
        <v>0.95</v>
      </c>
    </row>
    <row r="156" spans="3:8" x14ac:dyDescent="0.3">
      <c r="C156" s="26" t="s">
        <v>59</v>
      </c>
      <c r="D156" s="27" t="s">
        <v>109</v>
      </c>
      <c r="E156">
        <f ca="1">ROUND((Table6[[#This Row],[Overtime Hours]]/10*25)+((1-Table6[[#This Row],[Completion Rate]])*25),0)</f>
        <v>55</v>
      </c>
      <c r="F156" t="str">
        <f ca="1">IF(Table6[[#This Row],[Risk Score]]&lt;40,"Low Risk",IF(Table6[[#This Row],[Risk Score]]&lt;70,"Medium Risk","High Risk"))</f>
        <v>Medium Risk</v>
      </c>
      <c r="G156" s="27">
        <v>12</v>
      </c>
      <c r="H156" s="23">
        <f t="shared" ca="1" si="1"/>
        <v>0.90740740740740744</v>
      </c>
    </row>
    <row r="157" spans="3:8" x14ac:dyDescent="0.3">
      <c r="C157" s="24" t="s">
        <v>60</v>
      </c>
      <c r="D157" s="25" t="s">
        <v>110</v>
      </c>
      <c r="E157">
        <f ca="1">ROUND((Table6[[#This Row],[Overtime Hours]]/10*25)+((1-Table6[[#This Row],[Completion Rate]])*25),0)</f>
        <v>85</v>
      </c>
      <c r="F157" t="str">
        <f ca="1">IF(Table6[[#This Row],[Risk Score]]&lt;40,"Low Risk",IF(Table6[[#This Row],[Risk Score]]&lt;70,"Medium Risk","High Risk"))</f>
        <v>High Risk</v>
      </c>
      <c r="G157" s="25">
        <v>24</v>
      </c>
      <c r="H157" s="23">
        <f t="shared" ca="1" si="1"/>
        <v>0.86363636363636365</v>
      </c>
    </row>
    <row r="158" spans="3:8" x14ac:dyDescent="0.3">
      <c r="C158" s="26" t="s">
        <v>61</v>
      </c>
      <c r="D158" s="27" t="s">
        <v>111</v>
      </c>
      <c r="E158">
        <f ca="1">ROUND((Table6[[#This Row],[Overtime Hours]]/10*25)+((1-Table6[[#This Row],[Completion Rate]])*25),0)</f>
        <v>40</v>
      </c>
      <c r="F158" t="str">
        <f ca="1">IF(Table6[[#This Row],[Risk Score]]&lt;40,"Low Risk",IF(Table6[[#This Row],[Risk Score]]&lt;70,"Medium Risk","High Risk"))</f>
        <v>Medium Risk</v>
      </c>
      <c r="G158" s="27">
        <v>6</v>
      </c>
      <c r="H158" s="23">
        <f t="shared" ca="1" si="1"/>
        <v>0.93877551020408168</v>
      </c>
    </row>
    <row r="159" spans="3:8" x14ac:dyDescent="0.3">
      <c r="C159" s="24" t="s">
        <v>62</v>
      </c>
      <c r="D159" s="25" t="s">
        <v>112</v>
      </c>
      <c r="E159">
        <f ca="1">ROUND((Table6[[#This Row],[Overtime Hours]]/10*25)+((1-Table6[[#This Row],[Completion Rate]])*25),0)</f>
        <v>75</v>
      </c>
      <c r="F159" t="str">
        <f ca="1">IF(Table6[[#This Row],[Risk Score]]&lt;40,"Low Risk",IF(Table6[[#This Row],[Risk Score]]&lt;70,"Medium Risk","High Risk"))</f>
        <v>High Risk</v>
      </c>
      <c r="G159" s="25">
        <v>20</v>
      </c>
      <c r="H159" s="23">
        <f t="shared" ca="1" si="1"/>
        <v>0.8833333333333333</v>
      </c>
    </row>
    <row r="160" spans="3:8" x14ac:dyDescent="0.3">
      <c r="C160" s="26" t="s">
        <v>63</v>
      </c>
      <c r="D160" s="27" t="s">
        <v>113</v>
      </c>
      <c r="E160">
        <f ca="1">ROUND((Table6[[#This Row],[Overtime Hours]]/10*25)+((1-Table6[[#This Row],[Completion Rate]])*25),0)</f>
        <v>38</v>
      </c>
      <c r="F160" t="str">
        <f ca="1">IF(Table6[[#This Row],[Risk Score]]&lt;40,"Low Risk",IF(Table6[[#This Row],[Risk Score]]&lt;70,"Medium Risk","High Risk"))</f>
        <v>Low Risk</v>
      </c>
      <c r="G160" s="27">
        <v>5</v>
      </c>
      <c r="H160" s="23">
        <f t="shared" ca="1" si="1"/>
        <v>0.95652173913043481</v>
      </c>
    </row>
    <row r="161" spans="3:8" x14ac:dyDescent="0.3">
      <c r="C161" s="24" t="s">
        <v>64</v>
      </c>
      <c r="D161" s="25" t="s">
        <v>114</v>
      </c>
      <c r="E161">
        <f ca="1">ROUND((Table6[[#This Row],[Overtime Hours]]/10*25)+((1-Table6[[#This Row],[Completion Rate]])*25),0)</f>
        <v>63</v>
      </c>
      <c r="F161" t="str">
        <f ca="1">IF(Table6[[#This Row],[Risk Score]]&lt;40,"Low Risk",IF(Table6[[#This Row],[Risk Score]]&lt;70,"Medium Risk","High Risk"))</f>
        <v>Medium Risk</v>
      </c>
      <c r="G161" s="25">
        <v>15</v>
      </c>
      <c r="H161" s="23">
        <f t="shared" ca="1" si="1"/>
        <v>0.8771929824561403</v>
      </c>
    </row>
    <row r="162" spans="3:8" x14ac:dyDescent="0.3">
      <c r="C162" s="26" t="s">
        <v>65</v>
      </c>
      <c r="D162" s="27" t="s">
        <v>115</v>
      </c>
      <c r="E162">
        <f ca="1">ROUND((Table6[[#This Row],[Overtime Hours]]/10*25)+((1-Table6[[#This Row],[Completion Rate]])*25),0)</f>
        <v>48</v>
      </c>
      <c r="F162" t="str">
        <f ca="1">IF(Table6[[#This Row],[Risk Score]]&lt;40,"Low Risk",IF(Table6[[#This Row],[Risk Score]]&lt;70,"Medium Risk","High Risk"))</f>
        <v>Medium Risk</v>
      </c>
      <c r="G162" s="27">
        <v>9</v>
      </c>
      <c r="H162" s="23">
        <f t="shared" ca="1" si="1"/>
        <v>0.8867924528301887</v>
      </c>
    </row>
    <row r="163" spans="3:8" x14ac:dyDescent="0.3">
      <c r="C163" s="24"/>
      <c r="D163" s="25"/>
    </row>
  </sheetData>
  <conditionalFormatting sqref="E113:E16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13:F162">
    <cfRule type="containsText" dxfId="2" priority="2" operator="containsText" text="Low Risk">
      <formula>NOT(ISERROR(SEARCH("Low Risk",F113)))</formula>
    </cfRule>
    <cfRule type="containsText" dxfId="1" priority="3" operator="containsText" text="Medium Risk">
      <formula>NOT(ISERROR(SEARCH("Medium Risk",F113)))</formula>
    </cfRule>
    <cfRule type="containsText" dxfId="0" priority="4" operator="containsText" text="High Risk">
      <formula>NOT(ISERROR(SEARCH("High Risk",F113)))</formula>
    </cfRule>
  </conditionalFormatting>
  <pageMargins left="0.7" right="0.7" top="0.75" bottom="0.75" header="0.3" footer="0.3"/>
  <drawing r:id="rId2"/>
  <tableParts count="4"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Raw_Data</vt:lpstr>
      <vt:lpstr>Calculations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Anshika Bhutna</dc:creator>
  <cp:lastModifiedBy>Anshika Bhutna</cp:lastModifiedBy>
  <dcterms:created xsi:type="dcterms:W3CDTF">2026-08-11T18:07:58Z</dcterms:created>
  <dcterms:modified xsi:type="dcterms:W3CDTF">2026-09-07T11:16:29Z</dcterms:modified>
</cp:coreProperties>
</file>